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cordero\Documents\"/>
    </mc:Choice>
  </mc:AlternateContent>
  <xr:revisionPtr revIDLastSave="0" documentId="13_ncr:1_{F6831E4E-CC76-48A3-9D30-620572225D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AGE 2" sheetId="1" r:id="rId1"/>
    <sheet name="Calculo cuota" sheetId="3" r:id="rId2"/>
  </sheets>
  <definedNames>
    <definedName name="BuiltIn_Print_Area" localSheetId="1">'Calculo cuota'!$A$1:$HI$1</definedName>
    <definedName name="BuiltIn_Print_Area">#REF!</definedName>
    <definedName name="BuiltIn_Print_Titles" localSheetId="1">'Calculo cuota'!#REF!</definedName>
    <definedName name="BuiltIn_Print_Titles">#REF!</definedName>
    <definedName name="BuiltIn_Print_Titles___0">#REF!</definedName>
    <definedName name="_xlnm.Print_Area" localSheetId="1">'Calculo cuota'!$A$1:$H$17</definedName>
    <definedName name="_xlnm.Print_Area" localSheetId="0">'PAGE 2'!$A$1:$I$47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3" l="1"/>
  <c r="D5" i="3"/>
  <c r="C6" i="3" s="1"/>
  <c r="BF3" i="3"/>
  <c r="BE3" i="3"/>
  <c r="B6" i="3" l="1"/>
  <c r="E6" i="3" s="1"/>
  <c r="D6" i="3"/>
  <c r="BG3" i="3"/>
  <c r="C7" i="3" l="1"/>
  <c r="B7" i="3" s="1"/>
  <c r="E7" i="3" s="1"/>
  <c r="D7" i="3" l="1"/>
  <c r="C8" i="3" l="1"/>
  <c r="B8" i="3" l="1"/>
  <c r="E8" i="3" l="1"/>
  <c r="D8" i="3"/>
  <c r="C9" i="3" l="1"/>
  <c r="B9" i="3" l="1"/>
  <c r="E9" i="3" l="1"/>
  <c r="D9" i="3"/>
  <c r="C10" i="3" l="1"/>
  <c r="B10" i="3" l="1"/>
  <c r="E10" i="3" l="1"/>
  <c r="D10" i="3"/>
  <c r="C11" i="3" l="1"/>
  <c r="B11" i="3" l="1"/>
  <c r="E11" i="3" l="1"/>
  <c r="D11" i="3"/>
  <c r="C12" i="3" l="1"/>
  <c r="B12" i="3" l="1"/>
  <c r="E12" i="3" l="1"/>
  <c r="D12" i="3"/>
  <c r="C13" i="3" l="1"/>
  <c r="B13" i="3" l="1"/>
  <c r="E13" i="3" l="1"/>
  <c r="D13" i="3"/>
  <c r="C14" i="3" l="1"/>
  <c r="B14" i="3" s="1"/>
  <c r="E14" i="3" s="1"/>
  <c r="D14" i="3" l="1"/>
  <c r="C15" i="3" l="1"/>
  <c r="B15" i="3" s="1"/>
  <c r="E15" i="3" s="1"/>
  <c r="D15" i="3" l="1"/>
  <c r="C16" i="3" l="1"/>
  <c r="B16" i="3" s="1"/>
  <c r="E16" i="3" s="1"/>
  <c r="D16" i="3" l="1"/>
  <c r="C17" i="3"/>
  <c r="B17" i="3" l="1"/>
  <c r="C5" i="3"/>
  <c r="E17" i="3" l="1"/>
  <c r="E5" i="3" s="1"/>
  <c r="B5" i="3"/>
  <c r="D17" i="3"/>
  <c r="C18" i="3" l="1"/>
  <c r="B18" i="3" s="1"/>
  <c r="E18" i="3" s="1"/>
  <c r="D18" i="3" l="1"/>
  <c r="C19" i="3" l="1"/>
  <c r="B19" i="3" s="1"/>
  <c r="E19" i="3" s="1"/>
  <c r="D19" i="3" l="1"/>
  <c r="C20" i="3" l="1"/>
  <c r="B20" i="3" s="1"/>
  <c r="E20" i="3" s="1"/>
  <c r="D20" i="3"/>
  <c r="C21" i="3" l="1"/>
  <c r="B21" i="3" s="1"/>
  <c r="E21" i="3" s="1"/>
  <c r="D21" i="3" l="1"/>
  <c r="C22" i="3" s="1"/>
  <c r="B22" i="3" s="1"/>
  <c r="E22" i="3" s="1"/>
  <c r="D22" i="3" l="1"/>
  <c r="C23" i="3" l="1"/>
  <c r="B23" i="3" s="1"/>
  <c r="E23" i="3" s="1"/>
  <c r="D23" i="3" l="1"/>
  <c r="C24" i="3" l="1"/>
  <c r="B24" i="3" s="1"/>
  <c r="E24" i="3" s="1"/>
  <c r="D24" i="3" l="1"/>
  <c r="C25" i="3" l="1"/>
  <c r="B25" i="3" s="1"/>
  <c r="E25" i="3" s="1"/>
  <c r="D25" i="3" l="1"/>
  <c r="C26" i="3" s="1"/>
  <c r="B26" i="3" s="1"/>
  <c r="E26" i="3" s="1"/>
  <c r="D26" i="3" l="1"/>
  <c r="C27" i="3" l="1"/>
  <c r="B27" i="3" s="1"/>
  <c r="E27" i="3" s="1"/>
  <c r="D27" i="3" l="1"/>
  <c r="C28" i="3" l="1"/>
  <c r="B28" i="3" s="1"/>
  <c r="E28" i="3" s="1"/>
  <c r="D28" i="3" l="1"/>
  <c r="C29" i="3" s="1"/>
  <c r="B29" i="3" s="1"/>
  <c r="E29" i="3" s="1"/>
  <c r="D29" i="3" l="1"/>
  <c r="C30" i="3" s="1"/>
  <c r="B30" i="3" s="1"/>
  <c r="E30" i="3" s="1"/>
  <c r="D30" i="3" l="1"/>
  <c r="C31" i="3" l="1"/>
  <c r="B31" i="3" s="1"/>
  <c r="E31" i="3" s="1"/>
  <c r="D31" i="3" l="1"/>
  <c r="C32" i="3" s="1"/>
  <c r="B32" i="3" s="1"/>
  <c r="E32" i="3" s="1"/>
  <c r="D32" i="3" l="1"/>
  <c r="C33" i="3" s="1"/>
  <c r="B33" i="3" s="1"/>
  <c r="E33" i="3" s="1"/>
  <c r="D33" i="3" l="1"/>
  <c r="C34" i="3"/>
  <c r="B34" i="3" s="1"/>
  <c r="E34" i="3" s="1"/>
  <c r="D34" i="3" l="1"/>
  <c r="C35" i="3" l="1"/>
  <c r="B35" i="3" s="1"/>
  <c r="E35" i="3" s="1"/>
  <c r="D35" i="3" l="1"/>
  <c r="C36" i="3" s="1"/>
  <c r="B36" i="3" s="1"/>
  <c r="E36" i="3" s="1"/>
  <c r="D36" i="3" l="1"/>
  <c r="C37" i="3" l="1"/>
  <c r="B37" i="3" s="1"/>
  <c r="E37" i="3" s="1"/>
  <c r="D37" i="3" l="1"/>
  <c r="C38" i="3" l="1"/>
  <c r="B38" i="3" s="1"/>
  <c r="E38" i="3" s="1"/>
  <c r="D38" i="3" l="1"/>
  <c r="C39" i="3"/>
  <c r="B39" i="3" s="1"/>
  <c r="E39" i="3" s="1"/>
  <c r="D39" i="3" l="1"/>
  <c r="C40" i="3" l="1"/>
  <c r="B40" i="3" s="1"/>
  <c r="E40" i="3" s="1"/>
  <c r="D40" i="3" l="1"/>
  <c r="C41" i="3"/>
  <c r="B41" i="3" l="1"/>
  <c r="C43" i="3"/>
  <c r="E41" i="3" l="1"/>
  <c r="B43" i="3"/>
  <c r="D41" i="3"/>
</calcChain>
</file>

<file path=xl/sharedStrings.xml><?xml version="1.0" encoding="utf-8"?>
<sst xmlns="http://schemas.openxmlformats.org/spreadsheetml/2006/main" count="52" uniqueCount="40">
  <si>
    <t>ASOCIACIÓN SOLIDARISTA DE EMPLEADOS DE</t>
  </si>
  <si>
    <t>Nombre asociado:</t>
  </si>
  <si>
    <t>Fecha</t>
  </si>
  <si>
    <t>CATEGORIA:</t>
  </si>
  <si>
    <t>20% TASA DE INTERES</t>
  </si>
  <si>
    <t>MONTO SOLICITADO</t>
  </si>
  <si>
    <t>¢</t>
  </si>
  <si>
    <t xml:space="preserve"> </t>
  </si>
  <si>
    <t>T</t>
  </si>
  <si>
    <t>Para uso exclusivo de ASEHELLMANN</t>
  </si>
  <si>
    <t>Otros prestamos del ASOCIADO</t>
  </si>
  <si>
    <t>Ahorro personal</t>
  </si>
  <si>
    <t>Prestamos y otras dudas</t>
  </si>
  <si>
    <t>Disponible a favor</t>
  </si>
  <si>
    <t>Menos: 1% gastos de formalizacion</t>
  </si>
  <si>
    <t>TOTAL A GIRAR</t>
  </si>
  <si>
    <t>Preparado</t>
  </si>
  <si>
    <t>Firma Asociado</t>
  </si>
  <si>
    <t>Monto Aprobado</t>
  </si>
  <si>
    <t># cuotas</t>
  </si>
  <si>
    <t>Monto Cuota</t>
  </si>
  <si>
    <t>Referencia # _____________</t>
  </si>
  <si>
    <t>Fecha:          _____________</t>
  </si>
  <si>
    <t>ASOCIACION SOLIDARISTA DE EMPLEADOS DE HELLMANN SA</t>
  </si>
  <si>
    <t>Monto del Prestamo:</t>
  </si>
  <si>
    <t>Plazo meses</t>
  </si>
  <si>
    <t>Interes Anual 20%</t>
  </si>
  <si>
    <t>BATERIAS DIARIAS</t>
  </si>
  <si>
    <t>Cuota a pagar</t>
  </si>
  <si>
    <t>PLAN DE PAGOS</t>
  </si>
  <si>
    <t>DOC X PAGAR</t>
  </si>
  <si>
    <t>2. CAPITAL DE TRABAJO A FINANCIAR</t>
  </si>
  <si>
    <t>Mes</t>
  </si>
  <si>
    <t>Amortizacion</t>
  </si>
  <si>
    <t>Intereses</t>
  </si>
  <si>
    <t>Total cuota</t>
  </si>
  <si>
    <t>SOLICITUD DE ADELANTO SALARIO / PRESTAMO PERSONAL</t>
  </si>
  <si>
    <t>Totales</t>
  </si>
  <si>
    <t>Saldo Prestamo</t>
  </si>
  <si>
    <t>0% TASA 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</si>
</sst>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-409]#,##0.00;[Red]\-[$$-409]#,##0.00"/>
    <numFmt numFmtId="165" formatCode="#,##0.00\ ;&quot; (&quot;#,##0.00\);&quot; -&quot;#\ ;@\ "/>
    <numFmt numFmtId="166" formatCode="\$#,##0.00"/>
    <numFmt numFmtId="167" formatCode="#,##0.00;[Red]\-#,##0.00"/>
    <numFmt numFmtId="168" formatCode="#,##0;[Red]\-#,##0"/>
    <numFmt numFmtId="169" formatCode="&quot;&quot;#,##0.00_);[Red]\(&quot;&quot;#,##0.00\)"/>
    <numFmt numFmtId="170" formatCode="[$-C0A]mmm\-yy;@"/>
    <numFmt numFmtId="171" formatCode="#,##0.000;[Red]#,##0.000"/>
  </numFmts>
  <fonts count="23" x14ac:knownFonts="1">
    <font>
      <sz val="11"/>
      <color indexed="8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25"/>
      <color indexed="8"/>
      <name val="Wide Latin"/>
      <family val="1"/>
    </font>
    <font>
      <sz val="15"/>
      <color indexed="8"/>
      <name val="Arial"/>
      <family val="2"/>
    </font>
    <font>
      <sz val="10"/>
      <name val="Arial"/>
      <family val="2"/>
    </font>
    <font>
      <sz val="18"/>
      <color indexed="8"/>
      <name val="Britannic Bold"/>
      <family val="2"/>
    </font>
    <font>
      <sz val="11"/>
      <name val="Britannic Bold"/>
      <family val="2"/>
    </font>
    <font>
      <sz val="16"/>
      <name val="Britannic Bold"/>
      <family val="2"/>
    </font>
    <font>
      <sz val="12"/>
      <color indexed="8"/>
      <name val="Britannic Bold"/>
      <family val="2"/>
    </font>
    <font>
      <sz val="12"/>
      <name val="Britannic Bold"/>
      <family val="2"/>
    </font>
    <font>
      <sz val="11"/>
      <name val="Comic Sans MS"/>
      <family val="4"/>
    </font>
    <font>
      <i/>
      <sz val="12"/>
      <color indexed="8"/>
      <name val="Britannic Bold"/>
      <family val="2"/>
    </font>
    <font>
      <b/>
      <sz val="11"/>
      <name val="Comic Sans MS"/>
      <family val="4"/>
    </font>
    <font>
      <sz val="10"/>
      <name val="Comic Sans MS"/>
      <family val="4"/>
    </font>
    <font>
      <sz val="10"/>
      <color indexed="8"/>
      <name val="Britannic Bold"/>
      <family val="2"/>
    </font>
    <font>
      <i/>
      <sz val="11"/>
      <name val="Britannic Bold"/>
      <family val="2"/>
    </font>
    <font>
      <sz val="11"/>
      <color theme="0"/>
      <name val="Comic Sans MS"/>
      <family val="4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5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0" fontId="9" fillId="0" borderId="0"/>
  </cellStyleXfs>
  <cellXfs count="10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5" fillId="2" borderId="7" xfId="0" applyFont="1" applyFill="1" applyBorder="1"/>
    <xf numFmtId="0" fontId="4" fillId="2" borderId="0" xfId="0" applyFont="1" applyFill="1"/>
    <xf numFmtId="165" fontId="4" fillId="2" borderId="0" xfId="0" applyNumberFormat="1" applyFont="1" applyFill="1" applyAlignment="1">
      <alignment wrapText="1"/>
    </xf>
    <xf numFmtId="166" fontId="6" fillId="2" borderId="0" xfId="0" applyNumberFormat="1" applyFont="1" applyFill="1" applyAlignment="1">
      <alignment horizontal="right"/>
    </xf>
    <xf numFmtId="166" fontId="0" fillId="2" borderId="0" xfId="0" applyNumberFormat="1" applyFill="1" applyAlignment="1">
      <alignment horizontal="right"/>
    </xf>
    <xf numFmtId="4" fontId="0" fillId="2" borderId="0" xfId="0" applyNumberFormat="1" applyFill="1"/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3" borderId="4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0" fillId="3" borderId="5" xfId="0" applyFill="1" applyBorder="1"/>
    <xf numFmtId="0" fontId="0" fillId="2" borderId="9" xfId="0" applyFill="1" applyBorder="1"/>
    <xf numFmtId="0" fontId="5" fillId="2" borderId="0" xfId="0" applyFont="1" applyFill="1" applyAlignment="1">
      <alignment horizontal="right"/>
    </xf>
    <xf numFmtId="4" fontId="0" fillId="2" borderId="10" xfId="0" applyNumberFormat="1" applyFill="1" applyBorder="1"/>
    <xf numFmtId="4" fontId="0" fillId="2" borderId="11" xfId="0" applyNumberFormat="1" applyFill="1" applyBorder="1"/>
    <xf numFmtId="4" fontId="5" fillId="2" borderId="12" xfId="0" applyNumberFormat="1" applyFont="1" applyFill="1" applyBorder="1"/>
    <xf numFmtId="0" fontId="0" fillId="2" borderId="10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4" fontId="5" fillId="2" borderId="10" xfId="0" applyNumberFormat="1" applyFont="1" applyFill="1" applyBorder="1" applyAlignment="1">
      <alignment horizontal="center"/>
    </xf>
    <xf numFmtId="4" fontId="8" fillId="2" borderId="7" xfId="0" applyNumberFormat="1" applyFont="1" applyFill="1" applyBorder="1" applyAlignment="1" applyProtection="1">
      <alignment horizontal="center"/>
      <protection locked="0"/>
    </xf>
    <xf numFmtId="0" fontId="0" fillId="2" borderId="6" xfId="0" applyFill="1" applyBorder="1" applyProtection="1">
      <protection locked="0"/>
    </xf>
    <xf numFmtId="0" fontId="5" fillId="2" borderId="7" xfId="0" applyFont="1" applyFill="1" applyBorder="1" applyProtection="1">
      <protection locked="0"/>
    </xf>
    <xf numFmtId="14" fontId="5" fillId="2" borderId="7" xfId="0" applyNumberFormat="1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4" fontId="5" fillId="2" borderId="10" xfId="0" applyNumberFormat="1" applyFont="1" applyFill="1" applyBorder="1" applyAlignment="1" applyProtection="1">
      <alignment horizontal="center"/>
      <protection locked="0"/>
    </xf>
    <xf numFmtId="1" fontId="0" fillId="2" borderId="10" xfId="0" applyNumberFormat="1" applyFill="1" applyBorder="1" applyAlignment="1" applyProtection="1">
      <alignment horizontal="center"/>
      <protection locked="0"/>
    </xf>
    <xf numFmtId="0" fontId="11" fillId="4" borderId="21" xfId="6" applyFont="1" applyFill="1" applyBorder="1" applyProtection="1">
      <protection locked="0"/>
    </xf>
    <xf numFmtId="0" fontId="11" fillId="4" borderId="21" xfId="6" applyFont="1" applyFill="1" applyBorder="1"/>
    <xf numFmtId="0" fontId="11" fillId="4" borderId="0" xfId="6" applyFont="1" applyFill="1" applyProtection="1">
      <protection locked="0"/>
    </xf>
    <xf numFmtId="0" fontId="11" fillId="4" borderId="0" xfId="6" applyFont="1" applyFill="1"/>
    <xf numFmtId="0" fontId="15" fillId="4" borderId="0" xfId="6" applyFont="1" applyFill="1" applyProtection="1">
      <protection locked="0"/>
    </xf>
    <xf numFmtId="0" fontId="15" fillId="4" borderId="0" xfId="6" applyFont="1" applyFill="1"/>
    <xf numFmtId="0" fontId="17" fillId="4" borderId="0" xfId="6" applyFont="1" applyFill="1" applyProtection="1">
      <protection locked="0"/>
    </xf>
    <xf numFmtId="167" fontId="15" fillId="4" borderId="0" xfId="6" applyNumberFormat="1" applyFont="1" applyFill="1" applyProtection="1">
      <protection locked="0"/>
    </xf>
    <xf numFmtId="168" fontId="15" fillId="4" borderId="0" xfId="6" applyNumberFormat="1" applyFont="1" applyFill="1" applyProtection="1">
      <protection locked="0"/>
    </xf>
    <xf numFmtId="4" fontId="15" fillId="4" borderId="0" xfId="6" applyNumberFormat="1" applyFont="1" applyFill="1" applyProtection="1">
      <protection locked="0"/>
    </xf>
    <xf numFmtId="0" fontId="9" fillId="0" borderId="0" xfId="6"/>
    <xf numFmtId="169" fontId="9" fillId="0" borderId="0" xfId="6" applyNumberFormat="1"/>
    <xf numFmtId="0" fontId="15" fillId="4" borderId="0" xfId="6" applyFont="1" applyFill="1" applyAlignment="1" applyProtection="1">
      <alignment horizontal="center"/>
      <protection locked="0"/>
    </xf>
    <xf numFmtId="0" fontId="21" fillId="4" borderId="0" xfId="6" applyFont="1" applyFill="1" applyProtection="1">
      <protection locked="0"/>
    </xf>
    <xf numFmtId="0" fontId="21" fillId="4" borderId="0" xfId="6" applyFont="1" applyFill="1"/>
    <xf numFmtId="167" fontId="21" fillId="4" borderId="0" xfId="6" applyNumberFormat="1" applyFont="1" applyFill="1" applyProtection="1">
      <protection locked="0"/>
    </xf>
    <xf numFmtId="0" fontId="9" fillId="4" borderId="0" xfId="6" applyFill="1"/>
    <xf numFmtId="168" fontId="15" fillId="4" borderId="0" xfId="6" applyNumberFormat="1" applyFont="1" applyFill="1" applyProtection="1">
      <protection hidden="1"/>
    </xf>
    <xf numFmtId="0" fontId="15" fillId="4" borderId="0" xfId="6" applyFont="1" applyFill="1" applyProtection="1">
      <protection hidden="1"/>
    </xf>
    <xf numFmtId="0" fontId="19" fillId="4" borderId="29" xfId="6" applyFont="1" applyFill="1" applyBorder="1" applyAlignment="1" applyProtection="1">
      <alignment horizontal="center"/>
      <protection hidden="1"/>
    </xf>
    <xf numFmtId="0" fontId="19" fillId="4" borderId="24" xfId="6" applyFont="1" applyFill="1" applyBorder="1" applyAlignment="1" applyProtection="1">
      <alignment horizontal="center"/>
      <protection hidden="1"/>
    </xf>
    <xf numFmtId="0" fontId="19" fillId="4" borderId="30" xfId="6" applyFont="1" applyFill="1" applyBorder="1" applyAlignment="1" applyProtection="1">
      <alignment horizontal="center"/>
      <protection hidden="1"/>
    </xf>
    <xf numFmtId="0" fontId="18" fillId="4" borderId="0" xfId="6" applyFont="1" applyFill="1" applyProtection="1">
      <protection hidden="1"/>
    </xf>
    <xf numFmtId="4" fontId="15" fillId="4" borderId="0" xfId="6" applyNumberFormat="1" applyFont="1" applyFill="1" applyProtection="1">
      <protection hidden="1"/>
    </xf>
    <xf numFmtId="4" fontId="20" fillId="4" borderId="25" xfId="6" applyNumberFormat="1" applyFont="1" applyFill="1" applyBorder="1" applyProtection="1">
      <protection hidden="1"/>
    </xf>
    <xf numFmtId="0" fontId="13" fillId="4" borderId="0" xfId="6" applyFont="1" applyFill="1" applyAlignment="1" applyProtection="1">
      <alignment horizontal="left"/>
      <protection hidden="1"/>
    </xf>
    <xf numFmtId="39" fontId="15" fillId="4" borderId="0" xfId="6" applyNumberFormat="1" applyFont="1" applyFill="1" applyProtection="1">
      <protection hidden="1"/>
    </xf>
    <xf numFmtId="171" fontId="15" fillId="4" borderId="0" xfId="6" applyNumberFormat="1" applyFont="1" applyFill="1" applyProtection="1">
      <protection hidden="1"/>
    </xf>
    <xf numFmtId="170" fontId="19" fillId="4" borderId="0" xfId="6" applyNumberFormat="1" applyFont="1" applyFill="1" applyAlignment="1" applyProtection="1">
      <alignment horizontal="center"/>
      <protection hidden="1"/>
    </xf>
    <xf numFmtId="0" fontId="21" fillId="5" borderId="0" xfId="6" applyFont="1" applyFill="1" applyProtection="1">
      <protection hidden="1"/>
    </xf>
    <xf numFmtId="167" fontId="21" fillId="5" borderId="0" xfId="6" applyNumberFormat="1" applyFont="1" applyFill="1" applyProtection="1">
      <protection hidden="1"/>
    </xf>
    <xf numFmtId="0" fontId="21" fillId="4" borderId="0" xfId="6" applyFont="1" applyFill="1" applyProtection="1">
      <protection hidden="1"/>
    </xf>
    <xf numFmtId="4" fontId="20" fillId="4" borderId="0" xfId="6" applyNumberFormat="1" applyFont="1" applyFill="1" applyProtection="1">
      <protection hidden="1"/>
    </xf>
    <xf numFmtId="0" fontId="7" fillId="2" borderId="0" xfId="0" applyFont="1" applyFill="1" applyAlignment="1" applyProtection="1">
      <alignment vertical="center"/>
      <protection locked="0"/>
    </xf>
    <xf numFmtId="10" fontId="16" fillId="6" borderId="0" xfId="6" applyNumberFormat="1" applyFont="1" applyFill="1" applyAlignment="1" applyProtection="1">
      <alignment horizontal="right"/>
      <protection locked="0" hidden="1"/>
    </xf>
    <xf numFmtId="4" fontId="16" fillId="6" borderId="0" xfId="6" applyNumberFormat="1" applyFont="1" applyFill="1" applyAlignment="1" applyProtection="1">
      <alignment horizontal="right"/>
      <protection locked="0" hidden="1"/>
    </xf>
    <xf numFmtId="0" fontId="0" fillId="0" borderId="4" xfId="0" applyBorder="1"/>
    <xf numFmtId="0" fontId="4" fillId="0" borderId="0" xfId="0" applyFont="1"/>
    <xf numFmtId="0" fontId="7" fillId="0" borderId="0" xfId="0" applyFont="1" applyAlignment="1" applyProtection="1">
      <alignment vertical="center"/>
      <protection locked="0"/>
    </xf>
    <xf numFmtId="0" fontId="0" fillId="0" borderId="5" xfId="0" applyBorder="1"/>
    <xf numFmtId="170" fontId="19" fillId="4" borderId="31" xfId="6" applyNumberFormat="1" applyFont="1" applyFill="1" applyBorder="1" applyAlignment="1" applyProtection="1">
      <alignment horizontal="center"/>
      <protection hidden="1"/>
    </xf>
    <xf numFmtId="4" fontId="13" fillId="4" borderId="24" xfId="6" applyNumberFormat="1" applyFont="1" applyFill="1" applyBorder="1" applyAlignment="1" applyProtection="1">
      <alignment horizontal="center"/>
      <protection hidden="1"/>
    </xf>
    <xf numFmtId="0" fontId="18" fillId="4" borderId="0" xfId="6" applyFont="1" applyFill="1" applyAlignment="1" applyProtection="1">
      <alignment horizontal="right"/>
      <protection hidden="1"/>
    </xf>
    <xf numFmtId="1" fontId="19" fillId="4" borderId="32" xfId="6" applyNumberFormat="1" applyFont="1" applyFill="1" applyBorder="1" applyAlignment="1" applyProtection="1">
      <alignment horizontal="center"/>
      <protection hidden="1"/>
    </xf>
    <xf numFmtId="4" fontId="20" fillId="4" borderId="32" xfId="6" applyNumberFormat="1" applyFont="1" applyFill="1" applyBorder="1" applyProtection="1">
      <protection hidden="1"/>
    </xf>
    <xf numFmtId="1" fontId="19" fillId="4" borderId="25" xfId="6" applyNumberFormat="1" applyFont="1" applyFill="1" applyBorder="1" applyAlignment="1" applyProtection="1">
      <alignment horizontal="center"/>
      <protection hidden="1"/>
    </xf>
    <xf numFmtId="4" fontId="20" fillId="4" borderId="33" xfId="6" applyNumberFormat="1" applyFont="1" applyFill="1" applyBorder="1" applyProtection="1">
      <protection hidden="1"/>
    </xf>
    <xf numFmtId="4" fontId="20" fillId="4" borderId="34" xfId="6" applyNumberFormat="1" applyFont="1" applyFill="1" applyBorder="1" applyProtection="1">
      <protection hidden="1"/>
    </xf>
    <xf numFmtId="4" fontId="20" fillId="4" borderId="19" xfId="6" applyNumberFormat="1" applyFont="1" applyFill="1" applyBorder="1" applyProtection="1">
      <protection hidden="1"/>
    </xf>
    <xf numFmtId="1" fontId="19" fillId="4" borderId="34" xfId="6" applyNumberFormat="1" applyFont="1" applyFill="1" applyBorder="1" applyAlignment="1" applyProtection="1">
      <alignment horizontal="center"/>
      <protection hidden="1"/>
    </xf>
    <xf numFmtId="0" fontId="5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0" fillId="4" borderId="18" xfId="6" applyFont="1" applyFill="1" applyBorder="1" applyAlignment="1" applyProtection="1">
      <alignment horizontal="center"/>
      <protection hidden="1"/>
    </xf>
    <xf numFmtId="0" fontId="10" fillId="4" borderId="19" xfId="6" applyFont="1" applyFill="1" applyBorder="1" applyAlignment="1" applyProtection="1">
      <alignment horizontal="center"/>
      <protection hidden="1"/>
    </xf>
    <xf numFmtId="0" fontId="10" fillId="4" borderId="20" xfId="6" applyFont="1" applyFill="1" applyBorder="1" applyAlignment="1" applyProtection="1">
      <alignment horizontal="center"/>
      <protection hidden="1"/>
    </xf>
    <xf numFmtId="0" fontId="12" fillId="4" borderId="22" xfId="6" applyFont="1" applyFill="1" applyBorder="1" applyAlignment="1" applyProtection="1">
      <alignment horizontal="center"/>
      <protection hidden="1"/>
    </xf>
    <xf numFmtId="0" fontId="12" fillId="4" borderId="0" xfId="6" applyFont="1" applyFill="1" applyAlignment="1" applyProtection="1">
      <alignment horizontal="center"/>
      <protection hidden="1"/>
    </xf>
    <xf numFmtId="0" fontId="12" fillId="4" borderId="23" xfId="6" applyFont="1" applyFill="1" applyBorder="1" applyAlignment="1" applyProtection="1">
      <alignment horizontal="center"/>
      <protection hidden="1"/>
    </xf>
    <xf numFmtId="0" fontId="14" fillId="4" borderId="26" xfId="6" applyFont="1" applyFill="1" applyBorder="1" applyAlignment="1" applyProtection="1">
      <alignment horizontal="center"/>
      <protection hidden="1"/>
    </xf>
    <xf numFmtId="0" fontId="14" fillId="4" borderId="27" xfId="6" applyFont="1" applyFill="1" applyBorder="1" applyAlignment="1" applyProtection="1">
      <alignment horizontal="center"/>
      <protection hidden="1"/>
    </xf>
    <xf numFmtId="0" fontId="14" fillId="4" borderId="28" xfId="6" applyFont="1" applyFill="1" applyBorder="1" applyAlignment="1" applyProtection="1">
      <alignment horizontal="center"/>
      <protection hidden="1"/>
    </xf>
  </cellXfs>
  <cellStyles count="7">
    <cellStyle name="Excel_BuiltIn_Comma 1" xfId="1" xr:uid="{00000000-0005-0000-0000-000000000000}"/>
    <cellStyle name="Heading 1" xfId="2" builtinId="16" customBuiltin="1"/>
    <cellStyle name="Heading1 1" xfId="3" xr:uid="{00000000-0005-0000-0000-000002000000}"/>
    <cellStyle name="Normal" xfId="0" builtinId="0"/>
    <cellStyle name="Normal 2" xfId="6" xr:uid="{00000000-0005-0000-0000-000004000000}"/>
    <cellStyle name="Result 1" xfId="4" xr:uid="{00000000-0005-0000-0000-000005000000}"/>
    <cellStyle name="Result2 1" xfId="5" xr:uid="{00000000-0005-0000-0000-000006000000}"/>
  </cellStyles>
  <dxfs count="2">
    <dxf>
      <font>
        <b/>
        <i/>
      </font>
      <fill>
        <gradientFill type="path">
          <stop position="0">
            <color rgb="FFFFFF00"/>
          </stop>
          <stop position="1">
            <color theme="4" tint="-0.25098422193060094"/>
          </stop>
        </gradient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</font>
      <fill>
        <gradientFill type="path">
          <stop position="0">
            <color rgb="FFFFFF00"/>
          </stop>
          <stop position="1">
            <color theme="4" tint="-0.25098422193060094"/>
          </stop>
        </gradient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965637</xdr:colOff>
      <xdr:row>1</xdr:row>
      <xdr:rowOff>26276</xdr:rowOff>
    </xdr:from>
    <xdr:to>
      <xdr:col>6</xdr:col>
      <xdr:colOff>1554980</xdr:colOff>
      <xdr:row>3</xdr:row>
      <xdr:rowOff>177362</xdr:rowOff>
    </xdr:to>
    <xdr:pic>
      <xdr:nvPicPr>
        <xdr:cNvPr id="2" name="Picture 2" descr="ASEHELLMANN_Logo_4_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7637" y="210207"/>
          <a:ext cx="589343" cy="545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237796</xdr:colOff>
      <xdr:row>1</xdr:row>
      <xdr:rowOff>21021</xdr:rowOff>
    </xdr:from>
    <xdr:to>
      <xdr:col>2</xdr:col>
      <xdr:colOff>426432</xdr:colOff>
      <xdr:row>3</xdr:row>
      <xdr:rowOff>172107</xdr:rowOff>
    </xdr:to>
    <xdr:pic>
      <xdr:nvPicPr>
        <xdr:cNvPr id="3" name="Picture 2" descr="ASEHELLMANN_Logo_4_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330" y="204952"/>
          <a:ext cx="589343" cy="545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231228</xdr:colOff>
          <xdr:row>8</xdr:row>
          <xdr:rowOff>130393</xdr:rowOff>
        </xdr:from>
        <xdr:to>
          <xdr:col>6</xdr:col>
          <xdr:colOff>1283903</xdr:colOff>
          <xdr:row>10</xdr:row>
          <xdr:rowOff>72259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2398987" y="1641255"/>
              <a:ext cx="3456916" cy="355711"/>
              <a:chOff x="2398987" y="1641249"/>
              <a:chExt cx="3456916" cy="309729"/>
            </a:xfrm>
          </xdr:grpSpPr>
          <xdr:sp macro="" textlink="">
            <xdr:nvSpPr>
              <xdr:cNvPr id="1026" name="Option Button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2398987" y="1646506"/>
                <a:ext cx="1456996" cy="3044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ADELANTO DE SALARIO</a:t>
                </a:r>
              </a:p>
            </xdr:txBody>
          </xdr:sp>
          <xdr:sp macro="" textlink="">
            <xdr:nvSpPr>
              <xdr:cNvPr id="1027" name="Option Button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4395951" y="1641249"/>
                <a:ext cx="1459952" cy="3011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PRESTAMO PERSONAL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771525</xdr:colOff>
      <xdr:row>2</xdr:row>
      <xdr:rowOff>66675</xdr:rowOff>
    </xdr:to>
    <xdr:pic>
      <xdr:nvPicPr>
        <xdr:cNvPr id="2" name="Picture 2" descr="ASEHELLMANN_Logo_4_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15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0</xdr:row>
      <xdr:rowOff>19050</xdr:rowOff>
    </xdr:from>
    <xdr:to>
      <xdr:col>7</xdr:col>
      <xdr:colOff>790575</xdr:colOff>
      <xdr:row>2</xdr:row>
      <xdr:rowOff>85725</xdr:rowOff>
    </xdr:to>
    <xdr:pic>
      <xdr:nvPicPr>
        <xdr:cNvPr id="3" name="Picture 2" descr="ASEHELLMANN_Logo_4_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9050"/>
          <a:ext cx="7715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8"/>
  <sheetViews>
    <sheetView tabSelected="1" zoomScale="145" zoomScaleNormal="145" workbookViewId="0">
      <selection activeCell="C8" sqref="C8"/>
    </sheetView>
  </sheetViews>
  <sheetFormatPr defaultColWidth="0" defaultRowHeight="14.25" zeroHeight="1" x14ac:dyDescent="0.2"/>
  <cols>
    <col min="1" max="1" width="1.25" style="1" customWidth="1"/>
    <col min="2" max="2" width="5.25" style="1" customWidth="1"/>
    <col min="3" max="3" width="21.875" style="1" customWidth="1"/>
    <col min="4" max="4" width="5.25" style="1" customWidth="1"/>
    <col min="5" max="5" width="21" style="1" customWidth="1"/>
    <col min="6" max="6" width="5.25" style="1" customWidth="1"/>
    <col min="7" max="7" width="21.875" style="1" customWidth="1"/>
    <col min="8" max="8" width="5.25" style="1" customWidth="1"/>
    <col min="9" max="9" width="1.25" style="1" customWidth="1"/>
    <col min="10" max="10" width="8.5" style="1" customWidth="1"/>
    <col min="11" max="16384" width="0" style="1" hidden="1"/>
  </cols>
  <sheetData>
    <row r="1" spans="2:8" x14ac:dyDescent="0.2"/>
    <row r="2" spans="2:8" ht="15.75" customHeight="1" x14ac:dyDescent="0.25">
      <c r="B2" s="87" t="s">
        <v>0</v>
      </c>
      <c r="C2" s="87"/>
      <c r="D2" s="87"/>
      <c r="E2" s="87"/>
      <c r="F2" s="87"/>
      <c r="G2" s="87"/>
      <c r="H2" s="87"/>
    </row>
    <row r="3" spans="2:8" ht="15.75" customHeight="1" x14ac:dyDescent="0.25">
      <c r="B3" s="88"/>
      <c r="C3" s="88"/>
      <c r="D3" s="88"/>
      <c r="E3" s="88"/>
      <c r="F3" s="88"/>
      <c r="G3" s="88"/>
      <c r="H3" s="88"/>
    </row>
    <row r="4" spans="2:8" ht="15.75" customHeight="1" x14ac:dyDescent="0.25">
      <c r="B4" s="89" t="s">
        <v>36</v>
      </c>
      <c r="C4" s="89"/>
      <c r="D4" s="89"/>
      <c r="E4" s="89"/>
      <c r="F4" s="89"/>
      <c r="G4" s="89"/>
      <c r="H4" s="89"/>
    </row>
    <row r="5" spans="2:8" x14ac:dyDescent="0.2">
      <c r="B5" s="2"/>
      <c r="C5" s="3"/>
      <c r="D5" s="3"/>
      <c r="E5" s="3"/>
      <c r="F5" s="3"/>
      <c r="G5" s="3"/>
      <c r="H5" s="4"/>
    </row>
    <row r="6" spans="2:8" x14ac:dyDescent="0.2">
      <c r="B6" s="5" t="s">
        <v>1</v>
      </c>
      <c r="F6" s="1" t="s">
        <v>2</v>
      </c>
      <c r="G6" s="32"/>
      <c r="H6" s="6"/>
    </row>
    <row r="7" spans="2:8" x14ac:dyDescent="0.2">
      <c r="B7" s="7"/>
      <c r="H7" s="6"/>
    </row>
    <row r="8" spans="2:8" x14ac:dyDescent="0.2">
      <c r="B8" s="30"/>
      <c r="C8" s="31"/>
      <c r="D8" s="31"/>
      <c r="H8" s="6"/>
    </row>
    <row r="9" spans="2:8" x14ac:dyDescent="0.2">
      <c r="B9" s="7"/>
      <c r="H9" s="6"/>
    </row>
    <row r="10" spans="2:8" customFormat="1" ht="18" customHeight="1" x14ac:dyDescent="0.2">
      <c r="B10" s="72"/>
      <c r="C10" s="73" t="s">
        <v>3</v>
      </c>
      <c r="D10" s="74"/>
      <c r="F10" s="74"/>
      <c r="H10" s="75"/>
    </row>
    <row r="11" spans="2:8" ht="14.25" customHeight="1" x14ac:dyDescent="0.2">
      <c r="B11" s="7"/>
      <c r="D11" s="69"/>
      <c r="E11" s="11" t="s">
        <v>39</v>
      </c>
      <c r="F11" s="69"/>
      <c r="G11" s="11" t="s">
        <v>4</v>
      </c>
      <c r="H11" s="6"/>
    </row>
    <row r="12" spans="2:8" ht="3.75" customHeight="1" x14ac:dyDescent="0.2">
      <c r="B12" s="7"/>
      <c r="H12" s="6"/>
    </row>
    <row r="13" spans="2:8" customFormat="1" ht="18" customHeight="1" x14ac:dyDescent="0.2">
      <c r="B13" s="72"/>
      <c r="F13" s="74"/>
      <c r="H13" s="75"/>
    </row>
    <row r="14" spans="2:8" ht="14.25" customHeight="1" x14ac:dyDescent="0.2">
      <c r="B14" s="7"/>
      <c r="F14" s="69"/>
      <c r="G14" s="11"/>
      <c r="H14" s="6"/>
    </row>
    <row r="15" spans="2:8" x14ac:dyDescent="0.2">
      <c r="B15" s="7"/>
      <c r="H15" s="6"/>
    </row>
    <row r="16" spans="2:8" ht="18.75" x14ac:dyDescent="0.25">
      <c r="B16" s="7"/>
      <c r="C16" s="10" t="s">
        <v>5</v>
      </c>
      <c r="F16" s="12" t="s">
        <v>6</v>
      </c>
      <c r="G16" s="29"/>
      <c r="H16" s="6"/>
    </row>
    <row r="17" spans="2:8" x14ac:dyDescent="0.2">
      <c r="B17" s="7"/>
      <c r="C17" s="1" t="s">
        <v>7</v>
      </c>
      <c r="F17" s="13"/>
      <c r="G17" s="14"/>
      <c r="H17" s="6"/>
    </row>
    <row r="18" spans="2:8" x14ac:dyDescent="0.2">
      <c r="B18" s="8"/>
      <c r="C18" t="s">
        <v>7</v>
      </c>
      <c r="D18" s="15"/>
      <c r="E18" s="15"/>
      <c r="F18" s="15"/>
      <c r="G18" s="9"/>
      <c r="H18" s="16"/>
    </row>
    <row r="19" spans="2:8" x14ac:dyDescent="0.2">
      <c r="B19" s="90" t="s">
        <v>8</v>
      </c>
      <c r="C19" s="90"/>
      <c r="D19" s="90"/>
      <c r="E19" s="90"/>
      <c r="F19" s="90"/>
      <c r="G19" s="90"/>
      <c r="H19" s="90"/>
    </row>
    <row r="20" spans="2:8" ht="9" customHeight="1" x14ac:dyDescent="0.2">
      <c r="B20" s="17"/>
      <c r="C20" s="18"/>
      <c r="D20" s="18"/>
      <c r="E20" s="19"/>
      <c r="F20" s="18"/>
      <c r="G20" s="18"/>
      <c r="H20" s="20"/>
    </row>
    <row r="21" spans="2:8" x14ac:dyDescent="0.2">
      <c r="B21" s="86" t="s">
        <v>9</v>
      </c>
      <c r="C21" s="86"/>
      <c r="D21" s="86"/>
      <c r="E21" s="86"/>
      <c r="F21" s="86"/>
      <c r="G21" s="86"/>
      <c r="H21" s="21"/>
    </row>
    <row r="22" spans="2:8" x14ac:dyDescent="0.2">
      <c r="B22" s="7"/>
      <c r="H22" s="6"/>
    </row>
    <row r="23" spans="2:8" x14ac:dyDescent="0.2">
      <c r="B23" s="7"/>
      <c r="C23" s="1" t="s">
        <v>10</v>
      </c>
      <c r="H23" s="6"/>
    </row>
    <row r="24" spans="2:8" x14ac:dyDescent="0.2">
      <c r="B24" s="7"/>
      <c r="H24" s="6"/>
    </row>
    <row r="25" spans="2:8" x14ac:dyDescent="0.2">
      <c r="B25" s="7"/>
      <c r="C25" s="1" t="s">
        <v>11</v>
      </c>
      <c r="D25" s="22" t="s">
        <v>6</v>
      </c>
      <c r="E25" s="23"/>
      <c r="H25" s="6"/>
    </row>
    <row r="26" spans="2:8" x14ac:dyDescent="0.2">
      <c r="B26" s="7"/>
      <c r="C26" s="1" t="s">
        <v>12</v>
      </c>
      <c r="D26" s="22" t="s">
        <v>6</v>
      </c>
      <c r="E26" s="24"/>
      <c r="G26" s="1" t="s">
        <v>7</v>
      </c>
      <c r="H26" s="6"/>
    </row>
    <row r="27" spans="2:8" x14ac:dyDescent="0.2">
      <c r="B27" s="7"/>
      <c r="D27" s="22" t="s">
        <v>6</v>
      </c>
      <c r="E27" s="24"/>
      <c r="H27" s="6"/>
    </row>
    <row r="28" spans="2:8" x14ac:dyDescent="0.2">
      <c r="B28" s="7"/>
      <c r="D28" s="22" t="s">
        <v>6</v>
      </c>
      <c r="E28" s="24"/>
      <c r="H28" s="6"/>
    </row>
    <row r="29" spans="2:8" x14ac:dyDescent="0.2">
      <c r="B29" s="7"/>
      <c r="D29" s="22" t="s">
        <v>6</v>
      </c>
      <c r="E29" s="23"/>
      <c r="H29" s="6"/>
    </row>
    <row r="30" spans="2:8" x14ac:dyDescent="0.2">
      <c r="B30" s="7"/>
      <c r="C30" s="1" t="s">
        <v>13</v>
      </c>
      <c r="D30" s="22" t="s">
        <v>6</v>
      </c>
      <c r="E30" s="23"/>
      <c r="G30" s="23"/>
      <c r="H30" s="6"/>
    </row>
    <row r="31" spans="2:8" x14ac:dyDescent="0.2">
      <c r="B31" s="7"/>
      <c r="G31" s="14"/>
      <c r="H31" s="6"/>
    </row>
    <row r="32" spans="2:8" x14ac:dyDescent="0.2">
      <c r="B32" s="7"/>
      <c r="C32" s="1" t="s">
        <v>14</v>
      </c>
      <c r="F32" s="22" t="s">
        <v>6</v>
      </c>
      <c r="G32" s="23"/>
      <c r="H32" s="6"/>
    </row>
    <row r="33" spans="2:8" x14ac:dyDescent="0.2">
      <c r="B33" s="7"/>
      <c r="G33" s="14"/>
      <c r="H33" s="6"/>
    </row>
    <row r="34" spans="2:8" x14ac:dyDescent="0.2">
      <c r="B34" s="7"/>
      <c r="C34" s="1" t="s">
        <v>15</v>
      </c>
      <c r="F34" s="22" t="s">
        <v>6</v>
      </c>
      <c r="G34" s="25"/>
      <c r="H34" s="6"/>
    </row>
    <row r="35" spans="2:8" x14ac:dyDescent="0.2">
      <c r="B35" s="7"/>
      <c r="H35" s="6"/>
    </row>
    <row r="36" spans="2:8" x14ac:dyDescent="0.2">
      <c r="B36" s="8"/>
      <c r="C36" s="9"/>
      <c r="D36" s="9"/>
      <c r="E36" s="9"/>
      <c r="F36" s="9"/>
      <c r="G36" s="9"/>
      <c r="H36" s="16"/>
    </row>
    <row r="37" spans="2:8" x14ac:dyDescent="0.2">
      <c r="B37" s="7"/>
      <c r="H37" s="6"/>
    </row>
    <row r="38" spans="2:8" x14ac:dyDescent="0.2">
      <c r="B38" s="7"/>
      <c r="C38" s="26"/>
      <c r="G38" s="33"/>
      <c r="H38" s="6"/>
    </row>
    <row r="39" spans="2:8" x14ac:dyDescent="0.2">
      <c r="B39" s="7"/>
      <c r="C39" s="27" t="s">
        <v>16</v>
      </c>
      <c r="G39" s="27" t="s">
        <v>17</v>
      </c>
      <c r="H39" s="6"/>
    </row>
    <row r="40" spans="2:8" x14ac:dyDescent="0.2">
      <c r="B40" s="7"/>
      <c r="H40" s="6"/>
    </row>
    <row r="41" spans="2:8" x14ac:dyDescent="0.2">
      <c r="B41" s="7" t="s">
        <v>7</v>
      </c>
      <c r="C41" s="27" t="s">
        <v>18</v>
      </c>
      <c r="E41" s="27" t="s">
        <v>19</v>
      </c>
      <c r="G41" s="27" t="s">
        <v>20</v>
      </c>
      <c r="H41" s="6"/>
    </row>
    <row r="42" spans="2:8" x14ac:dyDescent="0.2">
      <c r="B42" s="7"/>
      <c r="C42" s="28"/>
      <c r="E42" s="35" t="s">
        <v>7</v>
      </c>
      <c r="G42" s="34"/>
      <c r="H42" s="6"/>
    </row>
    <row r="43" spans="2:8" x14ac:dyDescent="0.2">
      <c r="B43" s="8"/>
      <c r="C43" s="9"/>
      <c r="D43" s="9"/>
      <c r="E43" s="9"/>
      <c r="F43" s="9"/>
      <c r="G43" s="9"/>
      <c r="H43" s="16"/>
    </row>
    <row r="45" spans="2:8" hidden="1" x14ac:dyDescent="0.2">
      <c r="F45" s="1" t="s">
        <v>21</v>
      </c>
    </row>
    <row r="46" spans="2:8" hidden="1" x14ac:dyDescent="0.2">
      <c r="F46" s="1" t="s">
        <v>22</v>
      </c>
    </row>
    <row r="48" spans="2:8" x14ac:dyDescent="0.2"/>
  </sheetData>
  <sheetProtection algorithmName="SHA-512" hashValue="Vys/Nz5nspiqCOdv6mOv3U62nqJng0I6Qku5K6snGBKqENSv388EjptAnqq/NofG45aTkuxj9XB30P2nKv1E3g==" saltValue="Yy3arvzAohwBwhSH8/EqUA==" spinCount="100000" sheet="1" formatCells="0" formatColumns="0" formatRows="0" insertColumns="0" insertRows="0" insertHyperlinks="0" deleteColumns="0" deleteRows="0" sort="0" autoFilter="0" pivotTables="0"/>
  <mergeCells count="5">
    <mergeCell ref="B21:G21"/>
    <mergeCell ref="B2:H2"/>
    <mergeCell ref="B3:H3"/>
    <mergeCell ref="B4:H4"/>
    <mergeCell ref="B19:H19"/>
  </mergeCells>
  <printOptions horizontalCentered="1" verticalCentered="1"/>
  <pageMargins left="0.25" right="0.25" top="1.2958333333333334" bottom="1.2958333333333334" header="0.51180555555555551" footer="0.51180555555555551"/>
  <pageSetup firstPageNumber="0" pageOrder="overThenDown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3</xdr:col>
                    <xdr:colOff>228600</xdr:colOff>
                    <xdr:row>8</xdr:row>
                    <xdr:rowOff>133350</xdr:rowOff>
                  </from>
                  <to>
                    <xdr:col>4</xdr:col>
                    <xdr:colOff>1285875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5</xdr:col>
                    <xdr:colOff>228600</xdr:colOff>
                    <xdr:row>8</xdr:row>
                    <xdr:rowOff>133350</xdr:rowOff>
                  </from>
                  <to>
                    <xdr:col>6</xdr:col>
                    <xdr:colOff>1285875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Y117"/>
  <sheetViews>
    <sheetView workbookViewId="0">
      <pane ySplit="2" topLeftCell="A3" activePane="bottomLeft" state="frozen"/>
      <selection activeCell="A34" sqref="A34:A51"/>
      <selection pane="bottomLeft" activeCell="A7" sqref="A7"/>
    </sheetView>
  </sheetViews>
  <sheetFormatPr defaultColWidth="10" defaultRowHeight="12.75" x14ac:dyDescent="0.2"/>
  <cols>
    <col min="1" max="1" width="12.625" style="52" customWidth="1"/>
    <col min="2" max="4" width="17.625" style="52" customWidth="1"/>
    <col min="5" max="5" width="14.75" style="52" customWidth="1"/>
    <col min="6" max="6" width="5.375" style="52" customWidth="1"/>
    <col min="7" max="7" width="20.875" style="52" customWidth="1"/>
    <col min="8" max="8" width="16.875" style="52" customWidth="1"/>
    <col min="9" max="9" width="10.5" style="52" bestFit="1" customWidth="1"/>
    <col min="10" max="10" width="12.625" style="52" bestFit="1" customWidth="1"/>
    <col min="11" max="46" width="10" style="52"/>
    <col min="47" max="47" width="20.625" style="52" customWidth="1"/>
    <col min="48" max="48" width="11.625" style="52" bestFit="1" customWidth="1"/>
    <col min="49" max="49" width="11" style="52" customWidth="1"/>
    <col min="50" max="51" width="10.125" style="52" bestFit="1" customWidth="1"/>
    <col min="52" max="52" width="14.25" style="52" customWidth="1"/>
    <col min="53" max="54" width="11.625" style="52" customWidth="1"/>
    <col min="55" max="56" width="10" style="52"/>
    <col min="57" max="57" width="11.625" style="52" customWidth="1"/>
    <col min="58" max="59" width="10.75" style="52" customWidth="1"/>
    <col min="60" max="60" width="10" style="52"/>
    <col min="61" max="61" width="12.625" style="52" customWidth="1"/>
    <col min="62" max="82" width="10" style="52"/>
    <col min="83" max="83" width="19.5" style="52" customWidth="1"/>
    <col min="84" max="16384" width="10" style="52"/>
  </cols>
  <sheetData>
    <row r="1" spans="1:233" s="36" customFormat="1" ht="22.7" customHeight="1" x14ac:dyDescent="0.3">
      <c r="A1" s="91" t="s">
        <v>23</v>
      </c>
      <c r="B1" s="92"/>
      <c r="C1" s="92"/>
      <c r="D1" s="92"/>
      <c r="E1" s="92"/>
      <c r="F1" s="92"/>
      <c r="G1" s="92"/>
      <c r="H1" s="93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</row>
    <row r="2" spans="1:233" s="38" customFormat="1" ht="26.25" customHeight="1" thickBot="1" x14ac:dyDescent="0.3">
      <c r="A2" s="94"/>
      <c r="B2" s="95"/>
      <c r="C2" s="95"/>
      <c r="D2" s="95"/>
      <c r="E2" s="95"/>
      <c r="F2" s="95"/>
      <c r="G2" s="95"/>
      <c r="H2" s="96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</row>
    <row r="3" spans="1:233" s="40" customFormat="1" ht="16.899999999999999" customHeight="1" x14ac:dyDescent="0.35">
      <c r="A3" s="97" t="s">
        <v>29</v>
      </c>
      <c r="B3" s="98"/>
      <c r="C3" s="98"/>
      <c r="D3" s="98"/>
      <c r="E3" s="99"/>
      <c r="F3" s="53"/>
      <c r="G3" s="54"/>
      <c r="H3" s="53"/>
      <c r="AU3" s="40" t="s">
        <v>30</v>
      </c>
      <c r="AV3" s="44"/>
      <c r="AW3" s="44"/>
      <c r="AX3" s="44"/>
      <c r="AY3" s="44"/>
      <c r="AZ3" s="44"/>
      <c r="BA3" s="44">
        <v>3000000</v>
      </c>
      <c r="BB3" s="44">
        <v>3000000</v>
      </c>
      <c r="BE3" s="45" t="e">
        <f>SUM(#REF!)</f>
        <v>#REF!</v>
      </c>
      <c r="BF3" s="45" t="e">
        <f>SUM(#REF!)</f>
        <v>#REF!</v>
      </c>
      <c r="BG3" s="45" t="e">
        <f>BE3-BF3</f>
        <v>#REF!</v>
      </c>
      <c r="BI3" s="42" t="s">
        <v>31</v>
      </c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</row>
    <row r="4" spans="1:233" s="40" customFormat="1" ht="16.899999999999999" customHeight="1" x14ac:dyDescent="0.3">
      <c r="A4" s="55" t="s">
        <v>32</v>
      </c>
      <c r="B4" s="56" t="s">
        <v>33</v>
      </c>
      <c r="C4" s="56" t="s">
        <v>34</v>
      </c>
      <c r="D4" s="56" t="s">
        <v>38</v>
      </c>
      <c r="E4" s="57" t="s">
        <v>35</v>
      </c>
      <c r="F4" s="53"/>
      <c r="G4" s="58"/>
      <c r="H4" s="59"/>
      <c r="J4" s="46"/>
      <c r="K4" s="47"/>
      <c r="AV4" s="44"/>
      <c r="AW4" s="44"/>
      <c r="AX4" s="44"/>
      <c r="AY4" s="44"/>
      <c r="AZ4" s="44"/>
      <c r="BA4" s="44"/>
      <c r="BB4" s="44"/>
      <c r="BE4" s="45"/>
      <c r="BF4" s="45"/>
      <c r="BG4" s="45"/>
      <c r="BI4" s="40">
        <v>1500</v>
      </c>
      <c r="BJ4" s="40" t="s">
        <v>27</v>
      </c>
      <c r="BM4" s="48"/>
      <c r="BN4" s="48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</row>
    <row r="5" spans="1:233" s="40" customFormat="1" ht="16.899999999999999" customHeight="1" x14ac:dyDescent="0.3">
      <c r="A5" s="76" t="s">
        <v>37</v>
      </c>
      <c r="B5" s="77">
        <f>SUM(B6:B17)</f>
        <v>9999.9999999999982</v>
      </c>
      <c r="C5" s="77">
        <f>SUM(C6:C17)</f>
        <v>1116.1407076496052</v>
      </c>
      <c r="D5" s="77">
        <f>+H6</f>
        <v>10000</v>
      </c>
      <c r="E5" s="77">
        <f>SUM(E6:E17)</f>
        <v>11116.140707649605</v>
      </c>
      <c r="F5" s="53"/>
      <c r="G5" s="58"/>
      <c r="H5" s="59"/>
      <c r="J5" s="46"/>
      <c r="K5" s="47"/>
      <c r="AV5" s="44"/>
      <c r="AW5" s="44"/>
      <c r="AX5" s="44"/>
      <c r="AY5" s="44"/>
      <c r="AZ5" s="44"/>
      <c r="BA5" s="44"/>
      <c r="BB5" s="44"/>
      <c r="BE5" s="45"/>
      <c r="BF5" s="45"/>
      <c r="BG5" s="45"/>
      <c r="BM5" s="48"/>
      <c r="BN5" s="48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</row>
    <row r="6" spans="1:233" s="40" customFormat="1" ht="16.899999999999999" customHeight="1" x14ac:dyDescent="0.3">
      <c r="A6" s="79">
        <v>1</v>
      </c>
      <c r="B6" s="84">
        <f t="shared" ref="B6:B40" si="0">$H$11-C6</f>
        <v>759.67839230413369</v>
      </c>
      <c r="C6" s="80">
        <f t="shared" ref="C6:C40" si="1">+D5*$H$8/12</f>
        <v>166.66666666666666</v>
      </c>
      <c r="D6" s="84">
        <f t="shared" ref="D6:D40" si="2">+D5-B6</f>
        <v>9240.321607695867</v>
      </c>
      <c r="E6" s="80">
        <f t="shared" ref="E6:E40" si="3">+B6+C6</f>
        <v>926.34505897080032</v>
      </c>
      <c r="F6" s="53"/>
      <c r="G6" s="61" t="s">
        <v>24</v>
      </c>
      <c r="H6" s="71">
        <v>10000</v>
      </c>
      <c r="J6" s="45"/>
      <c r="AV6" s="44"/>
      <c r="AW6" s="44"/>
      <c r="AX6" s="44"/>
      <c r="AY6" s="44"/>
      <c r="AZ6" s="44"/>
      <c r="BA6" s="44"/>
      <c r="BB6" s="44"/>
      <c r="BE6" s="45"/>
      <c r="BF6" s="45"/>
      <c r="BG6" s="45"/>
      <c r="BM6" s="48"/>
      <c r="BN6" s="48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</row>
    <row r="7" spans="1:233" s="40" customFormat="1" ht="16.899999999999999" customHeight="1" x14ac:dyDescent="0.3">
      <c r="A7" s="81">
        <v>2</v>
      </c>
      <c r="B7" s="68">
        <f t="shared" si="0"/>
        <v>772.33969884253588</v>
      </c>
      <c r="C7" s="60">
        <f t="shared" si="1"/>
        <v>154.00536012826447</v>
      </c>
      <c r="D7" s="68">
        <f t="shared" si="2"/>
        <v>8467.9819088533313</v>
      </c>
      <c r="E7" s="60">
        <f t="shared" si="3"/>
        <v>926.34505897080032</v>
      </c>
      <c r="F7" s="53"/>
      <c r="G7" s="61" t="s">
        <v>25</v>
      </c>
      <c r="H7" s="71">
        <v>12</v>
      </c>
      <c r="J7" s="45"/>
      <c r="AV7" s="44"/>
      <c r="AW7" s="44"/>
      <c r="AX7" s="44"/>
      <c r="AY7" s="44"/>
      <c r="AZ7" s="44"/>
      <c r="BA7" s="44"/>
      <c r="BB7" s="44"/>
      <c r="BE7" s="45"/>
      <c r="BF7" s="45"/>
      <c r="BG7" s="45"/>
      <c r="BM7" s="48"/>
      <c r="BN7" s="48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</row>
    <row r="8" spans="1:233" s="40" customFormat="1" ht="16.899999999999999" customHeight="1" x14ac:dyDescent="0.3">
      <c r="A8" s="81">
        <v>3</v>
      </c>
      <c r="B8" s="68">
        <f t="shared" si="0"/>
        <v>785.21202715657819</v>
      </c>
      <c r="C8" s="60">
        <f t="shared" si="1"/>
        <v>141.13303181422219</v>
      </c>
      <c r="D8" s="68">
        <f t="shared" si="2"/>
        <v>7682.7698816967531</v>
      </c>
      <c r="E8" s="60">
        <f t="shared" si="3"/>
        <v>926.34505897080044</v>
      </c>
      <c r="F8" s="53"/>
      <c r="G8" s="61" t="s">
        <v>26</v>
      </c>
      <c r="H8" s="70">
        <v>0.2</v>
      </c>
      <c r="J8" s="45"/>
      <c r="AV8" s="44"/>
      <c r="AW8" s="44"/>
      <c r="AX8" s="44"/>
      <c r="AY8" s="44"/>
      <c r="AZ8" s="44"/>
      <c r="BA8" s="44"/>
      <c r="BB8" s="44"/>
      <c r="BE8" s="45"/>
      <c r="BF8" s="45"/>
      <c r="BG8" s="45"/>
      <c r="BM8" s="48"/>
      <c r="BN8" s="48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</row>
    <row r="9" spans="1:233" s="40" customFormat="1" ht="16.899999999999999" customHeight="1" x14ac:dyDescent="0.3">
      <c r="A9" s="81">
        <v>4</v>
      </c>
      <c r="B9" s="68">
        <f t="shared" si="0"/>
        <v>798.29889427585442</v>
      </c>
      <c r="C9" s="60">
        <f t="shared" si="1"/>
        <v>128.0461646949459</v>
      </c>
      <c r="D9" s="68">
        <f t="shared" si="2"/>
        <v>6884.4709874208984</v>
      </c>
      <c r="E9" s="60">
        <f t="shared" si="3"/>
        <v>926.34505897080032</v>
      </c>
      <c r="F9" s="53"/>
      <c r="G9" s="54"/>
      <c r="H9" s="53"/>
      <c r="J9" s="45"/>
      <c r="AV9" s="44"/>
      <c r="AW9" s="44"/>
      <c r="AX9" s="44"/>
      <c r="AY9" s="44"/>
      <c r="AZ9" s="44"/>
      <c r="BA9" s="44"/>
      <c r="BB9" s="44"/>
      <c r="BE9" s="45"/>
      <c r="BF9" s="45"/>
      <c r="BG9" s="45"/>
      <c r="BM9" s="48"/>
      <c r="BN9" s="48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</row>
    <row r="10" spans="1:233" s="40" customFormat="1" ht="16.899999999999999" customHeight="1" x14ac:dyDescent="0.3">
      <c r="A10" s="81">
        <v>5</v>
      </c>
      <c r="B10" s="68">
        <f t="shared" si="0"/>
        <v>811.60387584711862</v>
      </c>
      <c r="C10" s="60">
        <f t="shared" si="1"/>
        <v>114.74118312368165</v>
      </c>
      <c r="D10" s="68">
        <f t="shared" si="2"/>
        <v>6072.8671115737798</v>
      </c>
      <c r="E10" s="60">
        <f t="shared" si="3"/>
        <v>926.34505897080021</v>
      </c>
      <c r="F10" s="53"/>
      <c r="G10" s="54"/>
      <c r="H10" s="53"/>
      <c r="J10" s="45"/>
      <c r="K10" s="47"/>
      <c r="AV10" s="44"/>
      <c r="AW10" s="44"/>
      <c r="AX10" s="44"/>
      <c r="AY10" s="44"/>
      <c r="AZ10" s="44"/>
      <c r="BA10" s="44"/>
      <c r="BB10" s="44"/>
      <c r="BE10" s="45"/>
      <c r="BF10" s="45"/>
      <c r="BG10" s="45"/>
      <c r="BM10" s="48"/>
      <c r="BN10" s="48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</row>
    <row r="11" spans="1:233" s="40" customFormat="1" ht="16.899999999999999" customHeight="1" x14ac:dyDescent="0.3">
      <c r="A11" s="81">
        <v>6</v>
      </c>
      <c r="B11" s="68">
        <f t="shared" si="0"/>
        <v>825.13060711123728</v>
      </c>
      <c r="C11" s="60">
        <f t="shared" si="1"/>
        <v>101.214451859563</v>
      </c>
      <c r="D11" s="68">
        <f t="shared" si="2"/>
        <v>5247.7365044625421</v>
      </c>
      <c r="E11" s="60">
        <f t="shared" si="3"/>
        <v>926.34505897080032</v>
      </c>
      <c r="F11" s="53"/>
      <c r="G11" s="78" t="s">
        <v>28</v>
      </c>
      <c r="H11" s="62">
        <f>-PMT(H8/12,H7,H6,0,0)</f>
        <v>926.34505897080032</v>
      </c>
      <c r="J11" s="45"/>
      <c r="K11" s="47"/>
      <c r="AV11" s="44"/>
      <c r="AW11" s="44"/>
      <c r="AX11" s="44"/>
      <c r="AY11" s="44"/>
      <c r="AZ11" s="44"/>
      <c r="BA11" s="44"/>
      <c r="BB11" s="44"/>
      <c r="BE11" s="45"/>
      <c r="BF11" s="45"/>
      <c r="BG11" s="45"/>
      <c r="BM11" s="48"/>
      <c r="BN11" s="48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</row>
    <row r="12" spans="1:233" s="40" customFormat="1" ht="16.899999999999999" customHeight="1" x14ac:dyDescent="0.3">
      <c r="A12" s="81">
        <v>7</v>
      </c>
      <c r="B12" s="68">
        <f t="shared" si="0"/>
        <v>838.8827838964246</v>
      </c>
      <c r="C12" s="60">
        <f t="shared" si="1"/>
        <v>87.462275074375711</v>
      </c>
      <c r="D12" s="68">
        <f t="shared" si="2"/>
        <v>4408.8537205661178</v>
      </c>
      <c r="E12" s="60">
        <f t="shared" si="3"/>
        <v>926.34505897080032</v>
      </c>
      <c r="F12" s="53"/>
      <c r="G12" s="54"/>
      <c r="H12" s="53"/>
      <c r="J12" s="45"/>
      <c r="K12" s="47"/>
      <c r="AV12" s="44"/>
      <c r="AW12" s="44"/>
      <c r="AX12" s="44"/>
      <c r="AY12" s="44"/>
      <c r="AZ12" s="44"/>
      <c r="BA12" s="44"/>
      <c r="BB12" s="44"/>
      <c r="BE12" s="45"/>
      <c r="BF12" s="45"/>
      <c r="BG12" s="45"/>
      <c r="BM12" s="48"/>
      <c r="BN12" s="48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</row>
    <row r="13" spans="1:233" s="40" customFormat="1" ht="16.899999999999999" customHeight="1" x14ac:dyDescent="0.3">
      <c r="A13" s="81">
        <v>8</v>
      </c>
      <c r="B13" s="68">
        <f t="shared" si="0"/>
        <v>852.86416362803175</v>
      </c>
      <c r="C13" s="60">
        <f t="shared" si="1"/>
        <v>73.480895342768633</v>
      </c>
      <c r="D13" s="68">
        <f t="shared" si="2"/>
        <v>3555.989556938086</v>
      </c>
      <c r="E13" s="60">
        <f t="shared" si="3"/>
        <v>926.34505897080044</v>
      </c>
      <c r="F13" s="53"/>
      <c r="G13" s="54"/>
      <c r="H13" s="63"/>
      <c r="J13" s="45"/>
      <c r="K13" s="47"/>
      <c r="AV13" s="44"/>
      <c r="AW13" s="44"/>
      <c r="AX13" s="44"/>
      <c r="AY13" s="44"/>
      <c r="AZ13" s="44"/>
      <c r="BA13" s="44"/>
      <c r="BB13" s="44"/>
      <c r="BE13" s="45"/>
      <c r="BF13" s="45"/>
      <c r="BG13" s="45"/>
      <c r="BM13" s="48"/>
      <c r="BN13" s="48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</row>
    <row r="14" spans="1:233" s="40" customFormat="1" ht="16.899999999999999" customHeight="1" x14ac:dyDescent="0.3">
      <c r="A14" s="81">
        <v>9</v>
      </c>
      <c r="B14" s="68">
        <f t="shared" si="0"/>
        <v>867.07856635516555</v>
      </c>
      <c r="C14" s="60">
        <f t="shared" si="1"/>
        <v>59.266492615634775</v>
      </c>
      <c r="D14" s="68">
        <f t="shared" si="2"/>
        <v>2688.9109905829205</v>
      </c>
      <c r="E14" s="60">
        <f t="shared" si="3"/>
        <v>926.34505897080032</v>
      </c>
      <c r="F14" s="53"/>
      <c r="G14" s="54"/>
      <c r="H14" s="53"/>
      <c r="J14" s="45"/>
      <c r="K14" s="47"/>
      <c r="AV14" s="44"/>
      <c r="AW14" s="44"/>
      <c r="AX14" s="44"/>
      <c r="AY14" s="44"/>
      <c r="AZ14" s="44"/>
      <c r="BA14" s="44"/>
      <c r="BB14" s="44"/>
      <c r="BE14" s="45"/>
      <c r="BF14" s="45"/>
      <c r="BG14" s="45"/>
      <c r="BM14" s="48"/>
      <c r="BN14" s="48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</row>
    <row r="15" spans="1:233" s="40" customFormat="1" ht="16.899999999999999" customHeight="1" x14ac:dyDescent="0.3">
      <c r="A15" s="81">
        <v>10</v>
      </c>
      <c r="B15" s="68">
        <f t="shared" si="0"/>
        <v>881.52987579441833</v>
      </c>
      <c r="C15" s="60">
        <f t="shared" si="1"/>
        <v>44.815183176382014</v>
      </c>
      <c r="D15" s="68">
        <f t="shared" si="2"/>
        <v>1807.3811147885021</v>
      </c>
      <c r="E15" s="60">
        <f t="shared" si="3"/>
        <v>926.34505897080032</v>
      </c>
      <c r="F15" s="53"/>
      <c r="G15" s="54"/>
      <c r="H15" s="53"/>
      <c r="J15" s="45"/>
      <c r="K15" s="47"/>
      <c r="AV15" s="44"/>
      <c r="AW15" s="44"/>
      <c r="AX15" s="44"/>
      <c r="AY15" s="44"/>
      <c r="AZ15" s="44"/>
      <c r="BA15" s="44"/>
      <c r="BB15" s="44"/>
      <c r="BE15" s="45"/>
      <c r="BF15" s="45"/>
      <c r="BG15" s="45"/>
      <c r="BM15" s="48"/>
      <c r="BN15" s="48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</row>
    <row r="16" spans="1:233" s="40" customFormat="1" ht="16.899999999999999" customHeight="1" x14ac:dyDescent="0.3">
      <c r="A16" s="81">
        <v>11</v>
      </c>
      <c r="B16" s="68">
        <f t="shared" si="0"/>
        <v>896.22204039099199</v>
      </c>
      <c r="C16" s="60">
        <f t="shared" si="1"/>
        <v>30.12301857980837</v>
      </c>
      <c r="D16" s="68">
        <f t="shared" si="2"/>
        <v>911.15907439751015</v>
      </c>
      <c r="E16" s="60">
        <f t="shared" si="3"/>
        <v>926.34505897080032</v>
      </c>
      <c r="F16" s="53"/>
      <c r="G16" s="54"/>
      <c r="H16" s="53"/>
      <c r="J16" s="45"/>
      <c r="K16" s="47"/>
      <c r="AV16" s="44"/>
      <c r="AW16" s="44"/>
      <c r="AX16" s="44"/>
      <c r="AY16" s="44"/>
      <c r="AZ16" s="44"/>
      <c r="BA16" s="44"/>
      <c r="BB16" s="44"/>
      <c r="BE16" s="45"/>
      <c r="BF16" s="45"/>
      <c r="BG16" s="45"/>
      <c r="BM16" s="48"/>
      <c r="BN16" s="48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</row>
    <row r="17" spans="1:233" s="49" customFormat="1" ht="16.5" x14ac:dyDescent="0.3">
      <c r="A17" s="81">
        <v>12</v>
      </c>
      <c r="B17" s="68">
        <f t="shared" si="0"/>
        <v>911.15907439750845</v>
      </c>
      <c r="C17" s="60">
        <f t="shared" si="1"/>
        <v>15.185984573291838</v>
      </c>
      <c r="D17" s="68">
        <f t="shared" si="2"/>
        <v>1.7053025658242404E-12</v>
      </c>
      <c r="E17" s="60">
        <f t="shared" si="3"/>
        <v>926.34505897080032</v>
      </c>
      <c r="F17" s="53"/>
      <c r="G17" s="54"/>
      <c r="H17" s="53"/>
      <c r="I17" s="40"/>
      <c r="J17" s="45"/>
      <c r="K17" s="47"/>
      <c r="L17" s="40"/>
      <c r="M17" s="4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</row>
    <row r="18" spans="1:233" s="49" customFormat="1" ht="16.5" x14ac:dyDescent="0.3">
      <c r="A18" s="81">
        <v>13</v>
      </c>
      <c r="B18" s="68">
        <f t="shared" si="0"/>
        <v>926.34505897080032</v>
      </c>
      <c r="C18" s="60">
        <f t="shared" si="1"/>
        <v>2.8421709430404007E-14</v>
      </c>
      <c r="D18" s="68">
        <f t="shared" si="2"/>
        <v>-926.34505897079862</v>
      </c>
      <c r="E18" s="60">
        <f t="shared" si="3"/>
        <v>926.34505897080032</v>
      </c>
      <c r="F18" s="53"/>
      <c r="G18" s="54"/>
      <c r="H18" s="53"/>
      <c r="I18" s="40"/>
      <c r="J18" s="45"/>
      <c r="K18" s="47"/>
      <c r="L18" s="40"/>
      <c r="M18" s="4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</row>
    <row r="19" spans="1:233" s="49" customFormat="1" ht="16.5" x14ac:dyDescent="0.3">
      <c r="A19" s="81">
        <v>14</v>
      </c>
      <c r="B19" s="68">
        <f t="shared" si="0"/>
        <v>941.78414328698034</v>
      </c>
      <c r="C19" s="60">
        <f t="shared" si="1"/>
        <v>-15.439084316179978</v>
      </c>
      <c r="D19" s="68">
        <f t="shared" si="2"/>
        <v>-1868.1292022577791</v>
      </c>
      <c r="E19" s="60">
        <f t="shared" si="3"/>
        <v>926.34505897080032</v>
      </c>
      <c r="F19" s="53"/>
      <c r="G19" s="54"/>
      <c r="H19" s="53"/>
      <c r="I19" s="40"/>
      <c r="J19" s="45"/>
      <c r="K19" s="47"/>
      <c r="L19" s="40"/>
      <c r="M19" s="4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</row>
    <row r="20" spans="1:233" s="49" customFormat="1" ht="16.5" x14ac:dyDescent="0.3">
      <c r="A20" s="81">
        <v>15</v>
      </c>
      <c r="B20" s="68">
        <f t="shared" si="0"/>
        <v>957.48054567509666</v>
      </c>
      <c r="C20" s="60">
        <f t="shared" si="1"/>
        <v>-31.135486704296323</v>
      </c>
      <c r="D20" s="68">
        <f t="shared" si="2"/>
        <v>-2825.6097479328755</v>
      </c>
      <c r="E20" s="60">
        <f t="shared" si="3"/>
        <v>926.34505897080032</v>
      </c>
      <c r="F20" s="53"/>
      <c r="G20" s="54"/>
      <c r="H20" s="53"/>
      <c r="I20" s="40"/>
      <c r="J20" s="45"/>
      <c r="K20" s="47"/>
      <c r="L20" s="40"/>
      <c r="M20" s="4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</row>
    <row r="21" spans="1:233" s="49" customFormat="1" ht="16.5" x14ac:dyDescent="0.3">
      <c r="A21" s="81">
        <v>16</v>
      </c>
      <c r="B21" s="68">
        <f t="shared" si="0"/>
        <v>973.43855476968156</v>
      </c>
      <c r="C21" s="60">
        <f t="shared" si="1"/>
        <v>-47.093495798881264</v>
      </c>
      <c r="D21" s="68">
        <f t="shared" si="2"/>
        <v>-3799.0483027025571</v>
      </c>
      <c r="E21" s="60">
        <f t="shared" si="3"/>
        <v>926.34505897080032</v>
      </c>
      <c r="F21" s="53"/>
      <c r="G21" s="54"/>
      <c r="H21" s="53"/>
      <c r="I21" s="40"/>
      <c r="J21" s="45"/>
      <c r="K21" s="47"/>
      <c r="L21" s="40"/>
      <c r="M21" s="4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</row>
    <row r="22" spans="1:233" s="49" customFormat="1" ht="16.5" x14ac:dyDescent="0.3">
      <c r="A22" s="81">
        <v>17</v>
      </c>
      <c r="B22" s="68">
        <f t="shared" si="0"/>
        <v>989.66253068250967</v>
      </c>
      <c r="C22" s="60">
        <f t="shared" si="1"/>
        <v>-63.317471711709288</v>
      </c>
      <c r="D22" s="68">
        <f t="shared" si="2"/>
        <v>-4788.7108333850665</v>
      </c>
      <c r="E22" s="60">
        <f t="shared" si="3"/>
        <v>926.34505897080044</v>
      </c>
      <c r="F22" s="53"/>
      <c r="G22" s="54"/>
      <c r="H22" s="53"/>
      <c r="I22" s="40"/>
      <c r="J22" s="45"/>
      <c r="K22" s="47"/>
      <c r="L22" s="40"/>
      <c r="M22" s="4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</row>
    <row r="23" spans="1:233" s="49" customFormat="1" ht="16.5" x14ac:dyDescent="0.3">
      <c r="A23" s="81">
        <v>18</v>
      </c>
      <c r="B23" s="68">
        <f t="shared" si="0"/>
        <v>1006.1569061938848</v>
      </c>
      <c r="C23" s="60">
        <f t="shared" si="1"/>
        <v>-79.811847223084442</v>
      </c>
      <c r="D23" s="68">
        <f t="shared" si="2"/>
        <v>-5794.8677395789509</v>
      </c>
      <c r="E23" s="60">
        <f t="shared" si="3"/>
        <v>926.34505897080032</v>
      </c>
      <c r="F23" s="53"/>
      <c r="G23" s="54"/>
      <c r="H23" s="53"/>
      <c r="I23" s="40"/>
      <c r="J23" s="45"/>
      <c r="K23" s="47"/>
      <c r="L23" s="40"/>
      <c r="M23" s="4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</row>
    <row r="24" spans="1:233" s="49" customFormat="1" ht="16.5" x14ac:dyDescent="0.3">
      <c r="A24" s="81">
        <v>19</v>
      </c>
      <c r="B24" s="68">
        <f t="shared" si="0"/>
        <v>1022.9261879637828</v>
      </c>
      <c r="C24" s="60">
        <f t="shared" si="1"/>
        <v>-96.581128992982528</v>
      </c>
      <c r="D24" s="68">
        <f t="shared" si="2"/>
        <v>-6817.7939275427334</v>
      </c>
      <c r="E24" s="60">
        <f t="shared" si="3"/>
        <v>926.34505897080032</v>
      </c>
      <c r="F24" s="53"/>
      <c r="G24" s="54"/>
      <c r="H24" s="53"/>
      <c r="I24" s="40"/>
      <c r="J24" s="45"/>
      <c r="K24" s="47"/>
      <c r="L24" s="40"/>
      <c r="M24" s="4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</row>
    <row r="25" spans="1:233" s="49" customFormat="1" ht="16.5" x14ac:dyDescent="0.3">
      <c r="A25" s="81">
        <v>20</v>
      </c>
      <c r="B25" s="68">
        <f t="shared" si="0"/>
        <v>1039.9749577631792</v>
      </c>
      <c r="C25" s="60">
        <f t="shared" si="1"/>
        <v>-113.62989879237891</v>
      </c>
      <c r="D25" s="68">
        <f t="shared" si="2"/>
        <v>-7857.7688853059126</v>
      </c>
      <c r="E25" s="60">
        <f t="shared" si="3"/>
        <v>926.34505897080032</v>
      </c>
      <c r="F25" s="53"/>
      <c r="G25" s="54"/>
      <c r="H25" s="53"/>
      <c r="I25" s="40"/>
      <c r="J25" s="45"/>
      <c r="K25" s="47"/>
      <c r="L25" s="40"/>
      <c r="M25" s="4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</row>
    <row r="26" spans="1:233" s="49" customFormat="1" ht="16.5" x14ac:dyDescent="0.3">
      <c r="A26" s="81">
        <v>21</v>
      </c>
      <c r="B26" s="68">
        <f t="shared" si="0"/>
        <v>1057.3078737258988</v>
      </c>
      <c r="C26" s="60">
        <f t="shared" si="1"/>
        <v>-130.96281475509855</v>
      </c>
      <c r="D26" s="68">
        <f t="shared" si="2"/>
        <v>-8915.0767590318119</v>
      </c>
      <c r="E26" s="60">
        <f t="shared" si="3"/>
        <v>926.34505897080032</v>
      </c>
      <c r="F26" s="53"/>
      <c r="G26" s="54"/>
      <c r="H26" s="53"/>
      <c r="I26" s="40"/>
      <c r="J26" s="45"/>
      <c r="K26" s="47"/>
      <c r="L26" s="40"/>
      <c r="M26" s="4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</row>
    <row r="27" spans="1:233" s="49" customFormat="1" ht="16.5" x14ac:dyDescent="0.3">
      <c r="A27" s="81">
        <v>22</v>
      </c>
      <c r="B27" s="68">
        <f t="shared" si="0"/>
        <v>1074.9296716213305</v>
      </c>
      <c r="C27" s="60">
        <f t="shared" si="1"/>
        <v>-148.5846126505302</v>
      </c>
      <c r="D27" s="68">
        <f t="shared" si="2"/>
        <v>-9990.0064306531422</v>
      </c>
      <c r="E27" s="60">
        <f t="shared" si="3"/>
        <v>926.34505897080032</v>
      </c>
      <c r="F27" s="53"/>
      <c r="G27" s="54"/>
      <c r="H27" s="53"/>
      <c r="I27" s="40"/>
      <c r="J27" s="45"/>
      <c r="K27" s="47"/>
      <c r="L27" s="40"/>
      <c r="M27" s="4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</row>
    <row r="28" spans="1:233" s="49" customFormat="1" ht="16.5" x14ac:dyDescent="0.3">
      <c r="A28" s="81">
        <v>23</v>
      </c>
      <c r="B28" s="68">
        <f t="shared" si="0"/>
        <v>1092.8451661483527</v>
      </c>
      <c r="C28" s="60">
        <f t="shared" si="1"/>
        <v>-166.50010717755239</v>
      </c>
      <c r="D28" s="68">
        <f t="shared" si="2"/>
        <v>-11082.851596801494</v>
      </c>
      <c r="E28" s="60">
        <f t="shared" si="3"/>
        <v>926.34505897080032</v>
      </c>
      <c r="F28" s="53"/>
      <c r="G28" s="54"/>
      <c r="H28" s="53"/>
      <c r="I28" s="40"/>
      <c r="J28" s="45"/>
      <c r="K28" s="47"/>
      <c r="L28" s="40"/>
      <c r="M28" s="4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</row>
    <row r="29" spans="1:233" s="49" customFormat="1" ht="16.5" x14ac:dyDescent="0.3">
      <c r="A29" s="81">
        <v>24</v>
      </c>
      <c r="B29" s="68">
        <f t="shared" si="0"/>
        <v>1111.0592522508252</v>
      </c>
      <c r="C29" s="60">
        <f t="shared" si="1"/>
        <v>-184.71419328002492</v>
      </c>
      <c r="D29" s="68">
        <f t="shared" si="2"/>
        <v>-12193.910849052319</v>
      </c>
      <c r="E29" s="60">
        <f t="shared" si="3"/>
        <v>926.34505897080032</v>
      </c>
      <c r="F29" s="53"/>
      <c r="G29" s="54"/>
      <c r="H29" s="53"/>
      <c r="I29" s="40"/>
      <c r="J29" s="45"/>
      <c r="K29" s="47"/>
      <c r="L29" s="40"/>
      <c r="M29" s="4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</row>
    <row r="30" spans="1:233" s="49" customFormat="1" ht="16.5" x14ac:dyDescent="0.3">
      <c r="A30" s="81">
        <v>25</v>
      </c>
      <c r="B30" s="68">
        <f t="shared" si="0"/>
        <v>1129.5769064550057</v>
      </c>
      <c r="C30" s="60">
        <f t="shared" si="1"/>
        <v>-203.23184748420533</v>
      </c>
      <c r="D30" s="68">
        <f t="shared" si="2"/>
        <v>-13323.487755507325</v>
      </c>
      <c r="E30" s="60">
        <f t="shared" si="3"/>
        <v>926.34505897080032</v>
      </c>
      <c r="F30" s="53"/>
      <c r="G30" s="54"/>
      <c r="H30" s="53"/>
      <c r="I30" s="40"/>
      <c r="J30" s="45"/>
      <c r="K30" s="47"/>
      <c r="L30" s="40"/>
      <c r="M30" s="4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</row>
    <row r="31" spans="1:233" s="49" customFormat="1" ht="16.5" x14ac:dyDescent="0.3">
      <c r="A31" s="81">
        <v>26</v>
      </c>
      <c r="B31" s="68">
        <f t="shared" si="0"/>
        <v>1148.4031882292556</v>
      </c>
      <c r="C31" s="60">
        <f t="shared" si="1"/>
        <v>-222.05812925845544</v>
      </c>
      <c r="D31" s="68">
        <f t="shared" si="2"/>
        <v>-14471.89094373658</v>
      </c>
      <c r="E31" s="60">
        <f t="shared" si="3"/>
        <v>926.34505897080021</v>
      </c>
      <c r="F31" s="53"/>
      <c r="G31" s="54"/>
      <c r="H31" s="53"/>
      <c r="I31" s="40"/>
      <c r="J31" s="45"/>
      <c r="K31" s="47"/>
      <c r="L31" s="40"/>
      <c r="M31" s="4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</row>
    <row r="32" spans="1:233" s="49" customFormat="1" ht="16.5" x14ac:dyDescent="0.3">
      <c r="A32" s="81">
        <v>27</v>
      </c>
      <c r="B32" s="68">
        <f t="shared" si="0"/>
        <v>1167.54324136641</v>
      </c>
      <c r="C32" s="60">
        <f t="shared" si="1"/>
        <v>-241.19818239560968</v>
      </c>
      <c r="D32" s="68">
        <f t="shared" si="2"/>
        <v>-15639.434185102989</v>
      </c>
      <c r="E32" s="60">
        <f t="shared" si="3"/>
        <v>926.34505897080032</v>
      </c>
      <c r="F32" s="53"/>
      <c r="G32" s="54"/>
      <c r="H32" s="53"/>
      <c r="I32" s="40"/>
      <c r="J32" s="45"/>
      <c r="K32" s="47"/>
      <c r="L32" s="40"/>
      <c r="M32" s="4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</row>
    <row r="33" spans="1:233" s="49" customFormat="1" ht="16.5" x14ac:dyDescent="0.3">
      <c r="A33" s="81">
        <v>28</v>
      </c>
      <c r="B33" s="68">
        <f t="shared" si="0"/>
        <v>1187.0022953891835</v>
      </c>
      <c r="C33" s="60">
        <f t="shared" si="1"/>
        <v>-260.65723641838321</v>
      </c>
      <c r="D33" s="68">
        <f t="shared" si="2"/>
        <v>-16826.436480492172</v>
      </c>
      <c r="E33" s="60">
        <f t="shared" si="3"/>
        <v>926.34505897080021</v>
      </c>
      <c r="F33" s="53"/>
      <c r="G33" s="54"/>
      <c r="H33" s="53"/>
      <c r="I33" s="40"/>
      <c r="J33" s="45"/>
      <c r="K33" s="47"/>
      <c r="L33" s="40"/>
      <c r="M33" s="4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</row>
    <row r="34" spans="1:233" s="49" customFormat="1" ht="16.5" x14ac:dyDescent="0.3">
      <c r="A34" s="81">
        <v>29</v>
      </c>
      <c r="B34" s="68">
        <f t="shared" si="0"/>
        <v>1206.7856669790033</v>
      </c>
      <c r="C34" s="60">
        <f t="shared" si="1"/>
        <v>-280.4406080082029</v>
      </c>
      <c r="D34" s="68">
        <f t="shared" si="2"/>
        <v>-18033.222147471173</v>
      </c>
      <c r="E34" s="60">
        <f t="shared" si="3"/>
        <v>926.34505897080044</v>
      </c>
      <c r="F34" s="53"/>
      <c r="G34" s="54"/>
      <c r="H34" s="53"/>
      <c r="I34" s="40"/>
      <c r="J34" s="45"/>
      <c r="K34" s="47"/>
      <c r="L34" s="40"/>
      <c r="M34" s="4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</row>
    <row r="35" spans="1:233" s="49" customFormat="1" ht="16.5" x14ac:dyDescent="0.3">
      <c r="A35" s="81">
        <v>30</v>
      </c>
      <c r="B35" s="68">
        <f t="shared" si="0"/>
        <v>1226.8987614286532</v>
      </c>
      <c r="C35" s="60">
        <f t="shared" si="1"/>
        <v>-300.55370245785292</v>
      </c>
      <c r="D35" s="68">
        <f t="shared" si="2"/>
        <v>-19260.120908899826</v>
      </c>
      <c r="E35" s="60">
        <f t="shared" si="3"/>
        <v>926.34505897080021</v>
      </c>
      <c r="F35" s="53"/>
      <c r="G35" s="54"/>
      <c r="H35" s="53"/>
      <c r="I35" s="40"/>
      <c r="J35" s="45"/>
      <c r="K35" s="47"/>
      <c r="L35" s="40"/>
      <c r="M35" s="4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</row>
    <row r="36" spans="1:233" s="49" customFormat="1" ht="16.5" x14ac:dyDescent="0.3">
      <c r="A36" s="81">
        <v>31</v>
      </c>
      <c r="B36" s="68">
        <f t="shared" si="0"/>
        <v>1247.3470741191309</v>
      </c>
      <c r="C36" s="60">
        <f t="shared" si="1"/>
        <v>-321.00201514833043</v>
      </c>
      <c r="D36" s="68">
        <f t="shared" si="2"/>
        <v>-20507.467983018956</v>
      </c>
      <c r="E36" s="60">
        <f t="shared" si="3"/>
        <v>926.34505897080044</v>
      </c>
      <c r="F36" s="53"/>
      <c r="G36" s="54"/>
      <c r="H36" s="53"/>
      <c r="I36" s="40"/>
      <c r="J36" s="45"/>
      <c r="K36" s="47"/>
      <c r="L36" s="40"/>
      <c r="M36" s="4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</row>
    <row r="37" spans="1:233" s="49" customFormat="1" ht="16.5" x14ac:dyDescent="0.3">
      <c r="A37" s="81">
        <v>32</v>
      </c>
      <c r="B37" s="68">
        <f t="shared" si="0"/>
        <v>1268.1361920211161</v>
      </c>
      <c r="C37" s="60">
        <f t="shared" si="1"/>
        <v>-341.79113305031592</v>
      </c>
      <c r="D37" s="68">
        <f t="shared" si="2"/>
        <v>-21775.604175040073</v>
      </c>
      <c r="E37" s="60">
        <f t="shared" si="3"/>
        <v>926.34505897080021</v>
      </c>
      <c r="F37" s="53"/>
      <c r="G37" s="54"/>
      <c r="H37" s="53"/>
      <c r="I37" s="40"/>
      <c r="J37" s="45"/>
      <c r="K37" s="47"/>
      <c r="L37" s="40"/>
      <c r="M37" s="4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</row>
    <row r="38" spans="1:233" s="49" customFormat="1" ht="16.5" x14ac:dyDescent="0.3">
      <c r="A38" s="81">
        <v>33</v>
      </c>
      <c r="B38" s="68">
        <f t="shared" si="0"/>
        <v>1289.2717952214682</v>
      </c>
      <c r="C38" s="60">
        <f t="shared" si="1"/>
        <v>-362.92673625066794</v>
      </c>
      <c r="D38" s="68">
        <f t="shared" si="2"/>
        <v>-23064.875970261543</v>
      </c>
      <c r="E38" s="60">
        <f t="shared" si="3"/>
        <v>926.34505897080021</v>
      </c>
      <c r="F38" s="53"/>
      <c r="G38" s="54"/>
      <c r="H38" s="53"/>
      <c r="I38" s="40"/>
      <c r="J38" s="45"/>
      <c r="K38" s="47"/>
      <c r="L38" s="40"/>
      <c r="M38" s="4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</row>
    <row r="39" spans="1:233" s="49" customFormat="1" ht="16.5" x14ac:dyDescent="0.3">
      <c r="A39" s="81">
        <v>34</v>
      </c>
      <c r="B39" s="68">
        <f t="shared" si="0"/>
        <v>1310.7596584751593</v>
      </c>
      <c r="C39" s="60">
        <f t="shared" si="1"/>
        <v>-384.41459950435905</v>
      </c>
      <c r="D39" s="68">
        <f t="shared" si="2"/>
        <v>-24375.635628736702</v>
      </c>
      <c r="E39" s="60">
        <f t="shared" si="3"/>
        <v>926.34505897080021</v>
      </c>
      <c r="F39" s="53"/>
      <c r="G39" s="54"/>
      <c r="H39" s="53"/>
      <c r="I39" s="40"/>
      <c r="J39" s="45"/>
      <c r="K39" s="47"/>
      <c r="L39" s="40"/>
      <c r="M39" s="4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</row>
    <row r="40" spans="1:233" s="49" customFormat="1" ht="16.5" x14ac:dyDescent="0.3">
      <c r="A40" s="81">
        <v>35</v>
      </c>
      <c r="B40" s="68">
        <f t="shared" si="0"/>
        <v>1332.6056527830788</v>
      </c>
      <c r="C40" s="60">
        <f t="shared" si="1"/>
        <v>-406.26059381227839</v>
      </c>
      <c r="D40" s="68">
        <f t="shared" si="2"/>
        <v>-25708.241281519782</v>
      </c>
      <c r="E40" s="60">
        <f t="shared" si="3"/>
        <v>926.34505897080044</v>
      </c>
      <c r="F40" s="53"/>
      <c r="G40" s="54"/>
      <c r="H40" s="53"/>
      <c r="I40" s="40"/>
      <c r="J40" s="45"/>
      <c r="K40" s="47"/>
      <c r="L40" s="40"/>
      <c r="M40" s="4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</row>
    <row r="41" spans="1:233" s="49" customFormat="1" ht="16.5" x14ac:dyDescent="0.3">
      <c r="A41" s="85">
        <v>36</v>
      </c>
      <c r="B41" s="82">
        <f t="shared" ref="B41" si="4">$H$11-C41</f>
        <v>1354.8157469961302</v>
      </c>
      <c r="C41" s="83">
        <f t="shared" ref="C41" si="5">+D40*$H$8/12</f>
        <v>-428.47068802532976</v>
      </c>
      <c r="D41" s="82">
        <f t="shared" ref="D41" si="6">+D40-B41</f>
        <v>-27063.057028515912</v>
      </c>
      <c r="E41" s="83">
        <f t="shared" ref="E41" si="7">+B41+C41</f>
        <v>926.34505897080044</v>
      </c>
      <c r="F41" s="53"/>
      <c r="G41" s="54"/>
      <c r="H41" s="53"/>
      <c r="I41" s="40"/>
      <c r="J41" s="45"/>
      <c r="K41" s="47"/>
      <c r="L41" s="40"/>
      <c r="M41" s="4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</row>
    <row r="42" spans="1:233" s="49" customFormat="1" ht="16.5" x14ac:dyDescent="0.3">
      <c r="A42" s="64"/>
      <c r="B42" s="65"/>
      <c r="C42" s="66"/>
      <c r="D42" s="65"/>
      <c r="E42" s="65"/>
      <c r="F42" s="53"/>
      <c r="G42" s="65"/>
      <c r="H42" s="67"/>
      <c r="I42" s="40"/>
      <c r="J42" s="46"/>
      <c r="K42" s="47"/>
      <c r="L42" s="40"/>
      <c r="M42" s="4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</row>
    <row r="43" spans="1:233" s="49" customFormat="1" ht="16.5" x14ac:dyDescent="0.3">
      <c r="A43" s="67"/>
      <c r="B43" s="68">
        <f>SUM(B6:B42)</f>
        <v>37063.057028515912</v>
      </c>
      <c r="C43" s="68">
        <f>SUM(C6:C42)</f>
        <v>-3714.6349055671044</v>
      </c>
      <c r="D43" s="67"/>
      <c r="E43" s="67"/>
      <c r="F43" s="53"/>
      <c r="G43" s="67"/>
      <c r="H43" s="67"/>
      <c r="I43" s="40"/>
      <c r="J43" s="46"/>
      <c r="K43" s="47"/>
      <c r="L43" s="40"/>
      <c r="M43" s="4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</row>
    <row r="44" spans="1:233" s="49" customFormat="1" ht="16.5" x14ac:dyDescent="0.3">
      <c r="C44" s="51"/>
      <c r="F44" s="44"/>
      <c r="I44" s="40"/>
      <c r="J44" s="46"/>
      <c r="K44" s="47"/>
      <c r="L44" s="40"/>
      <c r="M44" s="4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</row>
    <row r="45" spans="1:233" s="49" customFormat="1" ht="16.5" x14ac:dyDescent="0.3">
      <c r="C45" s="51"/>
      <c r="F45" s="44"/>
      <c r="I45" s="40"/>
      <c r="J45" s="46"/>
      <c r="K45" s="47"/>
      <c r="L45" s="40"/>
      <c r="M45" s="4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</row>
    <row r="46" spans="1:233" s="49" customFormat="1" ht="16.5" x14ac:dyDescent="0.3">
      <c r="C46" s="51"/>
      <c r="F46" s="44"/>
      <c r="I46" s="40"/>
      <c r="J46" s="46"/>
      <c r="K46" s="47"/>
      <c r="L46" s="40"/>
      <c r="M46" s="4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</row>
    <row r="47" spans="1:233" s="49" customFormat="1" ht="16.5" x14ac:dyDescent="0.3">
      <c r="C47" s="51"/>
      <c r="I47" s="40"/>
      <c r="J47" s="46"/>
      <c r="K47" s="47"/>
      <c r="L47" s="40"/>
      <c r="M47" s="4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</row>
    <row r="48" spans="1:233" s="49" customFormat="1" ht="16.5" x14ac:dyDescent="0.3">
      <c r="C48" s="51"/>
      <c r="I48" s="40"/>
      <c r="J48" s="46"/>
      <c r="K48" s="47"/>
      <c r="L48" s="40"/>
      <c r="M48" s="4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</row>
    <row r="49" spans="3:233" s="49" customFormat="1" ht="16.5" x14ac:dyDescent="0.3">
      <c r="C49" s="51"/>
      <c r="I49" s="40"/>
      <c r="J49" s="46"/>
      <c r="K49" s="47"/>
      <c r="L49" s="40"/>
      <c r="M49" s="4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</row>
    <row r="50" spans="3:233" s="49" customFormat="1" ht="16.5" x14ac:dyDescent="0.3">
      <c r="C50" s="51"/>
      <c r="I50" s="40"/>
      <c r="J50" s="46"/>
      <c r="K50" s="47"/>
      <c r="L50" s="40"/>
      <c r="M50" s="4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</row>
    <row r="51" spans="3:233" s="49" customFormat="1" ht="16.5" x14ac:dyDescent="0.3">
      <c r="C51" s="51"/>
      <c r="I51" s="40"/>
      <c r="J51" s="46"/>
      <c r="K51" s="47"/>
      <c r="L51" s="40"/>
      <c r="M51" s="4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</row>
    <row r="52" spans="3:233" s="49" customFormat="1" ht="16.5" x14ac:dyDescent="0.3">
      <c r="C52" s="51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</row>
    <row r="53" spans="3:233" s="49" customFormat="1" ht="16.5" x14ac:dyDescent="0.3">
      <c r="C53" s="51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</row>
    <row r="54" spans="3:233" s="49" customFormat="1" ht="16.5" x14ac:dyDescent="0.3">
      <c r="C54" s="51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</row>
    <row r="55" spans="3:233" s="49" customFormat="1" ht="16.5" x14ac:dyDescent="0.3">
      <c r="C55" s="51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</row>
    <row r="56" spans="3:233" s="49" customFormat="1" ht="16.5" x14ac:dyDescent="0.3">
      <c r="C56" s="51"/>
      <c r="HJ56" s="50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</row>
    <row r="57" spans="3:233" s="49" customFormat="1" ht="16.5" x14ac:dyDescent="0.3">
      <c r="C57" s="51"/>
      <c r="HJ57" s="50"/>
      <c r="HK57" s="50"/>
      <c r="HL57" s="50"/>
      <c r="HM57" s="50"/>
      <c r="HN57" s="50"/>
      <c r="HO57" s="50"/>
      <c r="HP57" s="50"/>
      <c r="HQ57" s="50"/>
      <c r="HR57" s="50"/>
      <c r="HS57" s="50"/>
      <c r="HT57" s="50"/>
      <c r="HU57" s="50"/>
      <c r="HV57" s="50"/>
      <c r="HW57" s="50"/>
      <c r="HX57" s="50"/>
      <c r="HY57" s="50"/>
    </row>
    <row r="58" spans="3:233" s="49" customFormat="1" ht="16.5" x14ac:dyDescent="0.3">
      <c r="C58" s="51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</row>
    <row r="59" spans="3:233" s="49" customFormat="1" ht="16.5" x14ac:dyDescent="0.3">
      <c r="C59" s="51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</row>
    <row r="60" spans="3:233" s="49" customFormat="1" ht="16.5" x14ac:dyDescent="0.3">
      <c r="C60" s="51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</row>
    <row r="61" spans="3:233" s="49" customFormat="1" ht="16.5" x14ac:dyDescent="0.3">
      <c r="C61" s="51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</row>
    <row r="62" spans="3:233" s="49" customFormat="1" ht="16.5" x14ac:dyDescent="0.3">
      <c r="C62" s="51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</row>
    <row r="63" spans="3:233" s="49" customFormat="1" ht="16.5" x14ac:dyDescent="0.3">
      <c r="C63" s="51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</row>
    <row r="64" spans="3:233" s="49" customFormat="1" ht="16.5" x14ac:dyDescent="0.3">
      <c r="C64" s="51"/>
      <c r="HJ64" s="50"/>
      <c r="HK64" s="50"/>
      <c r="HL64" s="50"/>
      <c r="HM64" s="50"/>
      <c r="HN64" s="50"/>
      <c r="HO64" s="50"/>
      <c r="HP64" s="50"/>
      <c r="HQ64" s="50"/>
      <c r="HR64" s="50"/>
      <c r="HS64" s="50"/>
      <c r="HT64" s="50"/>
      <c r="HU64" s="50"/>
      <c r="HV64" s="50"/>
      <c r="HW64" s="50"/>
      <c r="HX64" s="50"/>
      <c r="HY64" s="50"/>
    </row>
    <row r="65" spans="3:233" s="49" customFormat="1" ht="16.5" x14ac:dyDescent="0.3">
      <c r="C65" s="51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</row>
    <row r="66" spans="3:233" s="49" customFormat="1" ht="16.5" x14ac:dyDescent="0.3">
      <c r="C66" s="51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</row>
    <row r="67" spans="3:233" s="49" customFormat="1" ht="16.5" x14ac:dyDescent="0.3">
      <c r="C67" s="51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</row>
    <row r="68" spans="3:233" s="49" customFormat="1" ht="16.5" x14ac:dyDescent="0.3">
      <c r="C68" s="51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</row>
    <row r="69" spans="3:233" s="49" customFormat="1" ht="16.5" x14ac:dyDescent="0.3">
      <c r="C69" s="51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</row>
    <row r="70" spans="3:233" s="49" customFormat="1" ht="16.5" x14ac:dyDescent="0.3">
      <c r="C70" s="51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</row>
    <row r="71" spans="3:233" s="49" customFormat="1" ht="16.5" x14ac:dyDescent="0.3">
      <c r="C71" s="51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</row>
    <row r="72" spans="3:233" s="49" customFormat="1" ht="16.5" x14ac:dyDescent="0.3">
      <c r="C72" s="51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</row>
    <row r="73" spans="3:233" s="49" customFormat="1" ht="16.5" x14ac:dyDescent="0.3">
      <c r="C73" s="51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</row>
    <row r="74" spans="3:233" s="49" customFormat="1" ht="16.5" x14ac:dyDescent="0.3">
      <c r="C74" s="51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</row>
    <row r="75" spans="3:233" s="49" customFormat="1" ht="16.5" x14ac:dyDescent="0.3">
      <c r="C75" s="51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</row>
    <row r="76" spans="3:233" s="49" customFormat="1" ht="16.5" x14ac:dyDescent="0.3">
      <c r="C76" s="51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</row>
    <row r="77" spans="3:233" s="49" customFormat="1" ht="16.5" x14ac:dyDescent="0.3">
      <c r="C77" s="51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</row>
    <row r="78" spans="3:233" s="49" customFormat="1" ht="16.5" x14ac:dyDescent="0.3">
      <c r="C78" s="51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</row>
    <row r="79" spans="3:233" s="49" customFormat="1" ht="16.5" x14ac:dyDescent="0.3">
      <c r="C79" s="51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</row>
    <row r="80" spans="3:233" s="49" customFormat="1" ht="16.5" x14ac:dyDescent="0.3">
      <c r="C80" s="51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</row>
    <row r="81" spans="3:233" s="49" customFormat="1" ht="16.5" x14ac:dyDescent="0.3">
      <c r="C81" s="51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</row>
    <row r="82" spans="3:233" s="49" customFormat="1" ht="16.5" x14ac:dyDescent="0.3">
      <c r="C82" s="51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</row>
    <row r="83" spans="3:233" s="49" customFormat="1" ht="16.5" x14ac:dyDescent="0.3">
      <c r="C83" s="51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</row>
    <row r="84" spans="3:233" s="49" customFormat="1" ht="16.5" x14ac:dyDescent="0.3">
      <c r="C84" s="51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</row>
    <row r="85" spans="3:233" s="49" customFormat="1" ht="16.5" x14ac:dyDescent="0.3">
      <c r="C85" s="51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</row>
    <row r="86" spans="3:233" s="49" customFormat="1" ht="16.5" x14ac:dyDescent="0.3">
      <c r="C86" s="51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</row>
    <row r="87" spans="3:233" s="49" customFormat="1" ht="16.5" x14ac:dyDescent="0.3">
      <c r="C87" s="51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</row>
    <row r="88" spans="3:233" s="49" customFormat="1" ht="16.5" x14ac:dyDescent="0.3">
      <c r="C88" s="51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</row>
    <row r="89" spans="3:233" s="49" customFormat="1" ht="16.5" x14ac:dyDescent="0.3">
      <c r="C89" s="51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</row>
    <row r="90" spans="3:233" s="49" customFormat="1" ht="16.5" x14ac:dyDescent="0.3">
      <c r="C90" s="51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</row>
    <row r="91" spans="3:233" s="49" customFormat="1" ht="16.5" x14ac:dyDescent="0.3">
      <c r="C91" s="51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</row>
    <row r="92" spans="3:233" s="49" customFormat="1" ht="16.5" x14ac:dyDescent="0.3">
      <c r="C92" s="51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</row>
    <row r="93" spans="3:233" s="49" customFormat="1" ht="16.5" x14ac:dyDescent="0.3">
      <c r="C93" s="51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</row>
    <row r="94" spans="3:233" s="49" customFormat="1" ht="16.5" x14ac:dyDescent="0.3">
      <c r="C94" s="51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</row>
    <row r="95" spans="3:233" s="49" customFormat="1" ht="16.5" x14ac:dyDescent="0.3">
      <c r="C95" s="51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</row>
    <row r="96" spans="3:233" s="49" customFormat="1" ht="16.5" x14ac:dyDescent="0.3">
      <c r="C96" s="51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</row>
    <row r="97" spans="3:233" s="49" customFormat="1" ht="16.5" x14ac:dyDescent="0.3">
      <c r="C97" s="51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</row>
    <row r="98" spans="3:233" s="49" customFormat="1" ht="16.5" x14ac:dyDescent="0.3">
      <c r="C98" s="51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</row>
    <row r="99" spans="3:233" s="49" customFormat="1" ht="16.5" x14ac:dyDescent="0.3">
      <c r="C99" s="51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</row>
    <row r="100" spans="3:233" s="49" customFormat="1" ht="16.5" x14ac:dyDescent="0.3">
      <c r="C100" s="51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</row>
    <row r="101" spans="3:233" s="49" customFormat="1" ht="16.5" x14ac:dyDescent="0.3">
      <c r="C101" s="51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</row>
    <row r="102" spans="3:233" s="49" customFormat="1" ht="16.5" x14ac:dyDescent="0.3">
      <c r="C102" s="51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</row>
    <row r="103" spans="3:233" s="49" customFormat="1" ht="16.5" x14ac:dyDescent="0.3">
      <c r="C103" s="51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</row>
    <row r="104" spans="3:233" s="49" customFormat="1" ht="16.5" x14ac:dyDescent="0.3">
      <c r="C104" s="51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</row>
    <row r="105" spans="3:233" s="49" customFormat="1" ht="16.5" x14ac:dyDescent="0.3">
      <c r="C105" s="51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</row>
    <row r="106" spans="3:233" s="49" customFormat="1" ht="16.5" x14ac:dyDescent="0.3">
      <c r="C106" s="51"/>
      <c r="HJ106" s="50"/>
      <c r="HK106" s="50"/>
      <c r="HL106" s="50"/>
      <c r="HM106" s="50"/>
      <c r="HN106" s="50"/>
      <c r="HO106" s="50"/>
      <c r="HP106" s="50"/>
      <c r="HQ106" s="50"/>
      <c r="HR106" s="50"/>
      <c r="HS106" s="50"/>
      <c r="HT106" s="50"/>
      <c r="HU106" s="50"/>
      <c r="HV106" s="50"/>
      <c r="HW106" s="50"/>
      <c r="HX106" s="50"/>
      <c r="HY106" s="50"/>
    </row>
    <row r="107" spans="3:233" s="49" customFormat="1" ht="16.5" x14ac:dyDescent="0.3">
      <c r="C107" s="51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</row>
    <row r="108" spans="3:233" s="49" customFormat="1" ht="16.5" x14ac:dyDescent="0.3">
      <c r="C108" s="51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</row>
    <row r="109" spans="3:233" s="49" customFormat="1" ht="16.5" x14ac:dyDescent="0.3">
      <c r="C109" s="51"/>
      <c r="HJ109" s="50"/>
      <c r="HK109" s="50"/>
      <c r="HL109" s="50"/>
      <c r="HM109" s="50"/>
      <c r="HN109" s="50"/>
      <c r="HO109" s="50"/>
      <c r="HP109" s="50"/>
      <c r="HQ109" s="50"/>
      <c r="HR109" s="50"/>
      <c r="HS109" s="50"/>
      <c r="HT109" s="50"/>
      <c r="HU109" s="50"/>
      <c r="HV109" s="50"/>
      <c r="HW109" s="50"/>
      <c r="HX109" s="50"/>
      <c r="HY109" s="50"/>
    </row>
    <row r="110" spans="3:233" s="49" customFormat="1" ht="16.5" x14ac:dyDescent="0.3">
      <c r="C110" s="51"/>
      <c r="HJ110" s="50"/>
      <c r="HK110" s="50"/>
      <c r="HL110" s="50"/>
      <c r="HM110" s="50"/>
      <c r="HN110" s="50"/>
      <c r="HO110" s="50"/>
      <c r="HP110" s="50"/>
      <c r="HQ110" s="50"/>
      <c r="HR110" s="50"/>
      <c r="HS110" s="50"/>
      <c r="HT110" s="50"/>
      <c r="HU110" s="50"/>
      <c r="HV110" s="50"/>
      <c r="HW110" s="50"/>
      <c r="HX110" s="50"/>
      <c r="HY110" s="50"/>
    </row>
    <row r="111" spans="3:233" s="49" customFormat="1" ht="16.5" x14ac:dyDescent="0.3">
      <c r="C111" s="51"/>
      <c r="HJ111" s="50"/>
      <c r="HK111" s="50"/>
      <c r="HL111" s="50"/>
      <c r="HM111" s="50"/>
      <c r="HN111" s="50"/>
      <c r="HO111" s="50"/>
      <c r="HP111" s="50"/>
      <c r="HQ111" s="50"/>
      <c r="HR111" s="50"/>
      <c r="HS111" s="50"/>
      <c r="HT111" s="50"/>
      <c r="HU111" s="50"/>
      <c r="HV111" s="50"/>
      <c r="HW111" s="50"/>
      <c r="HX111" s="50"/>
      <c r="HY111" s="50"/>
    </row>
    <row r="112" spans="3:233" s="40" customFormat="1" ht="16.5" x14ac:dyDescent="0.3">
      <c r="C112" s="43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</row>
    <row r="113" spans="3:233" s="40" customFormat="1" ht="16.5" x14ac:dyDescent="0.3">
      <c r="C113" s="43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</row>
    <row r="114" spans="3:233" s="40" customFormat="1" ht="16.5" x14ac:dyDescent="0.3">
      <c r="C114" s="43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</row>
    <row r="115" spans="3:233" s="40" customFormat="1" ht="16.5" x14ac:dyDescent="0.3">
      <c r="C115" s="43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</row>
    <row r="116" spans="3:233" s="40" customFormat="1" ht="16.5" x14ac:dyDescent="0.3">
      <c r="C116" s="43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</row>
    <row r="117" spans="3:233" s="40" customFormat="1" ht="16.5" x14ac:dyDescent="0.3">
      <c r="C117" s="43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</row>
  </sheetData>
  <sheetProtection sheet="1" objects="1" scenarios="1"/>
  <mergeCells count="3">
    <mergeCell ref="A1:H1"/>
    <mergeCell ref="A2:H2"/>
    <mergeCell ref="A3:E3"/>
  </mergeCells>
  <conditionalFormatting sqref="B43:C43">
    <cfRule type="cellIs" dxfId="1" priority="4" stopIfTrue="1" operator="between">
      <formula>0.99</formula>
      <formula>-0.99</formula>
    </cfRule>
  </conditionalFormatting>
  <conditionalFormatting sqref="B6:E41">
    <cfRule type="cellIs" dxfId="0" priority="1" stopIfTrue="1" operator="between">
      <formula>0.99</formula>
      <formula>-0.99</formula>
    </cfRule>
  </conditionalFormatting>
  <pageMargins left="0.37" right="0.25" top="0.92375000000000007" bottom="0.39374999999999999" header="0.51180555555555596" footer="0.24"/>
  <pageSetup paperSize="9" scale="72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PAGE 2</vt:lpstr>
      <vt:lpstr>Calculo cuota</vt:lpstr>
      <vt:lpstr>'Calculo cuota'!BuiltIn_Print_Area</vt:lpstr>
      <vt:lpstr>'Calculo cuota'!Print_Area</vt:lpstr>
      <vt:lpstr>'PAGE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Cordero</dc:creator>
  <cp:lastModifiedBy>Adriana Cordero</cp:lastModifiedBy>
  <cp:lastPrinted>2020-10-05T14:29:37Z</cp:lastPrinted>
  <dcterms:created xsi:type="dcterms:W3CDTF">2020-07-28T16:04:05Z</dcterms:created>
  <dcterms:modified xsi:type="dcterms:W3CDTF">2023-09-07T14:59:09Z</dcterms:modified>
</cp:coreProperties>
</file>